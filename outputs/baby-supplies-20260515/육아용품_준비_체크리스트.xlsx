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409cc9ec6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산 준비물" sheetId="1" r:id="R500a254c1c3f4ecf"/>
    <x:sheet xmlns:r="http://schemas.openxmlformats.org/officeDocument/2006/relationships" name="조리원 준비물" sheetId="2" r:id="R175c1c1d89164fc2"/>
    <x:sheet xmlns:r="http://schemas.openxmlformats.org/officeDocument/2006/relationships" name="육아 용품" sheetId="3" r:id="R0dac72b35da3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₩#,##0"/>
    <x:numFmt numFmtId="202" formatCode="0%"/>
  </x:numFmts>
  <x:fonts count="8">
    <x:font>
      <x:sz val="11"/>
      <x:name val="Carlito"/>
    </x:font>
    <x:font>
      <x:b/>
      <x:sz val="20"/>
      <x:color rgb="FFFFFF"/>
      <x:name val="Carlito"/>
    </x:font>
    <x:font>
      <x:i/>
      <x:sz val="11"/>
      <x:color rgb="1F5B45"/>
      <x:name val="Carlito"/>
    </x:font>
    <x:font>
      <x:b/>
      <x:sz val="10"/>
      <x:color rgb="1F5B45"/>
      <x:name val="Carlito"/>
    </x:font>
    <x:font>
      <x:b/>
      <x:sz val="14"/>
      <x:color rgb="20382F"/>
      <x:name val="Carlito"/>
    </x:font>
    <x:font>
      <x:sz val="10"/>
      <x:color rgb="5F7168"/>
      <x:name val="Carlito"/>
    </x:font>
    <x:font>
      <x:b/>
      <x:sz val="11"/>
      <x:color rgb="1F5B45"/>
      <x:name val="Carlito"/>
    </x:font>
    <x:font>
      <x:sz val="10"/>
      <x:color rgb="20382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78B986"/>
      </x:patternFill>
    </x:fill>
    <x:fill>
      <x:patternFill patternType="solid">
        <x:fgColor rgb="EAF7EC"/>
      </x:patternFill>
    </x:fill>
    <x:fill>
      <x:patternFill patternType="solid">
        <x:fgColor rgb="DDF4D2"/>
      </x:patternFill>
    </x:fill>
    <x:fill>
      <x:patternFill patternType="solid">
        <x:fgColor rgb="FFF8E7"/>
      </x:patternFill>
    </x:fill>
    <x:fill>
      <x:patternFill patternType="solid">
        <x:fgColor rgb="FFF1D6"/>
      </x:patternFill>
    </x:fill>
    <x:fill>
      <x:patternFill patternType="solid">
        <x:fgColor rgb="FFFFFF"/>
      </x:patternFill>
    </x:fill>
    <x:fill>
      <x:patternFill patternType="solid">
        <x:fgColor rgb="E2F3D8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200" fontId="7" fillId="7" borderId="0" xfId="0" applyNumberFormat="1" applyFont="1" applyFill="1" applyBorder="1" applyAlignment="1">
      <x:alignment wrapText="1"/>
    </x:xf>
    <x:xf numFmtId="200" fontId="7" fillId="8" borderId="0" xfId="0" applyNumberFormat="1" applyFont="1" applyFill="1" applyBorder="1" applyAlignment="1">
      <x:alignment wrapText="1"/>
    </x:xf>
    <x:xf numFmtId="201" fontId="7" fillId="7" borderId="0" xfId="0" applyNumberFormat="1" applyFont="1" applyFill="1" applyBorder="1" applyAlignment="1">
      <x:alignment wrapText="1"/>
    </x:xf>
    <x:xf numFmtId="201" fontId="7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1F5B45"/>
      </x:font>
      <x:fill>
        <x:patternFill patternType="solid">
          <x:bgColor rgb="DDF4D2"/>
        </x:patternFill>
      </x:fill>
    </x:dxf>
    <x:dxf>
      <x:font>
        <x:color rgb="1F5B45"/>
      </x:font>
      <x:fill>
        <x:patternFill patternType="solid">
          <x:bgColor rgb="DDEBFF"/>
        </x:patternFill>
      </x:fill>
    </x:dxf>
    <x:dxf>
      <x:font>
        <x:color rgb="5F7168"/>
      </x:font>
      <x:fill>
        <x:patternFill patternType="solid">
          <x:bgColor rgb="FFF1D6"/>
        </x:patternFill>
      </x:fill>
    </x:dxf>
    <x:dxf>
      <x:font>
        <x:b/>
        <x:color rgb="1F5B45"/>
      </x:font>
      <x:fill>
        <x:patternFill patternType="solid">
          <x:bgColor rgb="CDEFD2"/>
        </x:patternFill>
      </x:fill>
    </x:dxf>
    <x:dxf>
      <x:font>
        <x:color rgb="20382F"/>
      </x:font>
      <x:fill>
        <x:patternFill patternType="solid">
          <x:bgColor rgb="FFF0B8"/>
        </x:patternFill>
      </x:fill>
    </x:dxf>
    <x:dxf>
      <x:font>
        <x:color rgb="20382F"/>
      </x:font>
      <x:fill>
        <x:patternFill patternType="solid">
          <x:bgColor rgb="DDEBFF"/>
        </x:patternFill>
      </x:fill>
    </x:dxf>
    <x:dxf>
      <x:font>
        <x:color rgb="20382F"/>
      </x:font>
      <x:fill>
        <x:patternFill patternType="solid">
          <x:bgColor rgb="F8D9DF"/>
        </x:patternFill>
      </x:fill>
    </x:dxf>
    <x:dxf>
      <x:font>
        <x:color rgb="5F7168"/>
      </x:font>
      <x:fill>
        <x:patternFill patternType="solid">
          <x:bgColor rgb="E2E8E2"/>
        </x:patternFill>
      </x:fill>
    </x:dxf>
    <x:dxf>
      <x:font>
        <x:b/>
        <x:color rgb="1F5B45"/>
      </x:font>
      <x:fill>
        <x:patternFill patternType="solid">
          <x:bgColor rgb="DDF4D2"/>
        </x:patternFill>
      </x:fill>
    </x:dxf>
    <x:dxf>
      <x:font>
        <x:color rgb="1F5B45"/>
      </x:font>
      <x:fill>
        <x:patternFill patternType="solid">
          <x:bgColor rgb="DDEBFF"/>
        </x:patternFill>
      </x:fill>
    </x:dxf>
    <x:dxf>
      <x:font>
        <x:color rgb="5F7168"/>
      </x:font>
      <x:fill>
        <x:patternFill patternType="solid">
          <x:bgColor rgb="FFF1D6"/>
        </x:patternFill>
      </x:fill>
    </x:dxf>
    <x:dxf>
      <x:font>
        <x:b/>
        <x:color rgb="1F5B45"/>
      </x:font>
      <x:fill>
        <x:patternFill patternType="solid">
          <x:bgColor rgb="CDEFD2"/>
        </x:patternFill>
      </x:fill>
    </x:dxf>
    <x:dxf>
      <x:font>
        <x:color rgb="20382F"/>
      </x:font>
      <x:fill>
        <x:patternFill patternType="solid">
          <x:bgColor rgb="FFF0B8"/>
        </x:patternFill>
      </x:fill>
    </x:dxf>
    <x:dxf>
      <x:font>
        <x:color rgb="20382F"/>
      </x:font>
      <x:fill>
        <x:patternFill patternType="solid">
          <x:bgColor rgb="DDEBFF"/>
        </x:patternFill>
      </x:fill>
    </x:dxf>
    <x:dxf>
      <x:font>
        <x:color rgb="20382F"/>
      </x:font>
      <x:fill>
        <x:patternFill patternType="solid">
          <x:bgColor rgb="F8D9DF"/>
        </x:patternFill>
      </x:fill>
    </x:dxf>
    <x:dxf>
      <x:font>
        <x:color rgb="5F7168"/>
      </x:font>
      <x:fill>
        <x:patternFill patternType="solid">
          <x:bgColor rgb="E2E8E2"/>
        </x:patternFill>
      </x:fill>
    </x:dxf>
    <x:dxf>
      <x:font>
        <x:b/>
        <x:color rgb="1F5B45"/>
      </x:font>
      <x:fill>
        <x:patternFill patternType="solid">
          <x:bgColor rgb="DDF4D2"/>
        </x:patternFill>
      </x:fill>
    </x:dxf>
    <x:dxf>
      <x:font>
        <x:color rgb="1F5B45"/>
      </x:font>
      <x:fill>
        <x:patternFill patternType="solid">
          <x:bgColor rgb="DDEBFF"/>
        </x:patternFill>
      </x:fill>
    </x:dxf>
    <x:dxf>
      <x:font>
        <x:color rgb="5F7168"/>
      </x:font>
      <x:fill>
        <x:patternFill patternType="solid">
          <x:bgColor rgb="FFF1D6"/>
        </x:patternFill>
      </x:fill>
    </x:dxf>
    <x:dxf>
      <x:font>
        <x:b/>
        <x:color rgb="1F5B45"/>
      </x:font>
      <x:fill>
        <x:patternFill patternType="solid">
          <x:bgColor rgb="CDEFD2"/>
        </x:patternFill>
      </x:fill>
    </x:dxf>
    <x:dxf>
      <x:font>
        <x:color rgb="20382F"/>
      </x:font>
      <x:fill>
        <x:patternFill patternType="solid">
          <x:bgColor rgb="FFF0B8"/>
        </x:patternFill>
      </x:fill>
    </x:dxf>
    <x:dxf>
      <x:font>
        <x:color rgb="20382F"/>
      </x:font>
      <x:fill>
        <x:patternFill patternType="solid">
          <x:bgColor rgb="DDEBFF"/>
        </x:patternFill>
      </x:fill>
    </x:dxf>
    <x:dxf>
      <x:font>
        <x:color rgb="20382F"/>
      </x:font>
      <x:fill>
        <x:patternFill patternType="solid">
          <x:bgColor rgb="F8D9DF"/>
        </x:patternFill>
      </x:fill>
    </x:dxf>
    <x:dxf>
      <x:font>
        <x:color rgb="5F7168"/>
      </x:font>
      <x:fill>
        <x:patternFill patternType="solid">
          <x:bgColor rgb="E2E8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dde33826544a6" /><Relationship Type="http://schemas.openxmlformats.org/officeDocument/2006/relationships/theme" Target="/xl/theme/theme1.xml" Id="R8690c4b66c794728" /><Relationship Type="http://schemas.openxmlformats.org/officeDocument/2006/relationships/sharedStrings" Target="/xl/sharedStrings.xml" Id="R60ca56d5dff5427c" /><Relationship Type="http://schemas.openxmlformats.org/officeDocument/2006/relationships/worksheet" Target="/xl/worksheets/sheet1.xml" Id="R500a254c1c3f4ecf" /><Relationship Type="http://schemas.openxmlformats.org/officeDocument/2006/relationships/worksheet" Target="/xl/worksheets/sheet2.xml" Id="R175c1c1d89164fc2" /><Relationship Type="http://schemas.openxmlformats.org/officeDocument/2006/relationships/worksheet" Target="/xl/worksheets/sheet3.xml" Id="R0dac72b35da34762" /></Relationships>
</file>

<file path=xl/tables/table1.xml><?xml version="1.0" encoding="utf-8"?>
<x:table xmlns:x="http://schemas.openxmlformats.org/spreadsheetml/2006/main" id="1" name="BirthPrepTable" displayName="BirthPrepTable" ref="A9:K103" headerRowCount="1">
  <x:autoFilter ref="A9:K103"/>
  <x:tableColumns count="11">
    <x:tableColumn id="1" name="No"/>
    <x:tableColumn id="2" name="분류"/>
    <x:tableColumn id="3" name="항목"/>
    <x:tableColumn id="4" name="수량"/>
    <x:tableColumn id="5" name="중요도"/>
    <x:tableColumn id="6" name="구매 상태"/>
    <x:tableColumn id="7" name="예상 가격"/>
    <x:tableColumn id="8" name="실 구매 가격"/>
    <x:tableColumn id="9" name="링크"/>
    <x:tableColumn id="10" name="메모"/>
    <x:tableColumn id="11" name="후보 아이템"/>
  </x:tableColumns>
  <x:tableStyleInfo name="TableStyleLight1" showRowStripes="1"/>
</x:table>
</file>

<file path=xl/tables/table2.xml><?xml version="1.0" encoding="utf-8"?>
<x:table xmlns:x="http://schemas.openxmlformats.org/spreadsheetml/2006/main" id="2" name="CareCenterTable" displayName="CareCenterTable" ref="A9:K110" headerRowCount="1">
  <x:autoFilter ref="A9:K110"/>
  <x:tableColumns count="11">
    <x:tableColumn id="1" name="No"/>
    <x:tableColumn id="2" name="분류"/>
    <x:tableColumn id="3" name="항목"/>
    <x:tableColumn id="4" name="수량"/>
    <x:tableColumn id="5" name="중요도"/>
    <x:tableColumn id="6" name="구매 상태"/>
    <x:tableColumn id="7" name="예상 가격"/>
    <x:tableColumn id="8" name="실 구매 가격"/>
    <x:tableColumn id="9" name="링크"/>
    <x:tableColumn id="10" name="메모"/>
    <x:tableColumn id="11" name="후보 아이템"/>
  </x:tableColumns>
  <x:tableStyleInfo name="TableStyleLight1" showRowStripes="1"/>
</x:table>
</file>

<file path=xl/tables/table3.xml><?xml version="1.0" encoding="utf-8"?>
<x:table xmlns:x="http://schemas.openxmlformats.org/spreadsheetml/2006/main" id="3" name="BabyGoodsTable" displayName="BabyGoodsTable" ref="A9:M152" headerRowCount="1">
  <x:autoFilter ref="A9:M152"/>
  <x:tableColumns count="13">
    <x:tableColumn id="1" name="No"/>
    <x:tableColumn id="2" name="분류"/>
    <x:tableColumn id="3" name="항목"/>
    <x:tableColumn id="4" name="제품명"/>
    <x:tableColumn id="5" name="수량"/>
    <x:tableColumn id="6" name="중요도"/>
    <x:tableColumn id="7" name="사용 시기"/>
    <x:tableColumn id="8" name="구매 상태"/>
    <x:tableColumn id="9" name="예상 가격"/>
    <x:tableColumn id="10" name="실 구매 가격"/>
    <x:tableColumn id="11" name="링크"/>
    <x:tableColumn id="12" name="메모"/>
    <x:tableColumn id="13" name="후보 아이템"/>
  </x:tableColumns>
  <x:tableStyleInfo name="TableStyleLight1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596b3215aa42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23a70295d348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1a607e4a7b49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4.109999656677246" hidden="0" customWidth="1"/>
    <x:col min="3" max="3" width="26.3799991607666" hidden="0" customWidth="1"/>
    <x:col min="4" max="4" width="7.239999771118164" hidden="0" customWidth="1"/>
    <x:col min="5" max="5" width="9.9399995803833" hidden="0" customWidth="1"/>
    <x:col min="6" max="6" width="13.130000114440918" hidden="0" customWidth="1"/>
    <x:col min="7" max="7" width="11.899999618530273" hidden="0" customWidth="1"/>
    <x:col min="8" max="8" width="12.640000343322754" hidden="0" customWidth="1"/>
    <x:col min="9" max="9" width="20.25" hidden="0" customWidth="1"/>
    <x:col min="10" max="10" width="31.290000915527344" hidden="0" customWidth="1"/>
    <x:col min="11" max="11" width="22.700000762939453" hidden="0" customWidth="1"/>
  </x:cols>
  <x:sheetData>
    <x:row r="1" ht="27" customHeight="1">
      <x:c r="A1" s="2" t="str">
        <x:v>새싹 베이비 출산 준비물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9.5" customHeight="1">
      <x:c r="A2" s="4" t="str">
        <x:v>병원 입원부터 퇴원까지 한 번에 확인하는 출산가방 체크리스트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20.25" customHeight="1">
      <x:c r="A4" s="6" t="str">
        <x:v>전체 항목</x:v>
      </x:c>
      <x:c r="B4" s="6"/>
      <x:c r="C4" s="6" t="str">
        <x:v>구매 완료</x:v>
      </x:c>
      <x:c r="D4" s="6"/>
      <x:c r="E4" s="6" t="str">
        <x:v>진행 대상</x:v>
      </x:c>
      <x:c r="F4" s="6"/>
      <x:c r="G4" s="6" t="str">
        <x:v>예상 예산</x:v>
      </x:c>
      <x:c r="H4" s="6"/>
      <x:c r="I4" s="6" t="str">
        <x:v>실구매 합계</x:v>
      </x:c>
      <x:c r="J4" s="6"/>
      <x:c r="K4" s="6" t="str">
        <x:v>준비 완료율</x:v>
      </x:c>
    </x:row>
    <x:row r="5" ht="20.25" customHeight="1">
      <x:c r="A5" s="9" t="n">
        <x:f>COUNTA(C10:C103)</x:f>
        <x:v>34</x:v>
      </x:c>
      <x:c r="B5" s="9"/>
      <x:c r="C5" s="9" t="n">
        <x:f>COUNTIF(F10:F103,"구매완료")+COUNTIF(F10:F103,"대여/물려받기")</x:f>
        <x:v>0</x:v>
      </x:c>
      <x:c r="D5" s="9"/>
      <x:c r="E5" s="9" t="n">
        <x:f>COUNTIF(F10:F103,"구매예정")+COUNTIF(F10:F103,"구매완료")+COUNTIF(F10:F103,"대여/물려받기")+COUNTIF(F10:F103,"선물예정")</x:f>
        <x:v>0</x:v>
      </x:c>
      <x:c r="F5" s="9"/>
      <x:c r="G5" s="10" t="n">
        <x:f>SUMPRODUCT(D10:D103,G10:G103)</x:f>
        <x:v>0</x:v>
      </x:c>
      <x:c r="H5" s="10"/>
      <x:c r="I5" s="10" t="n">
        <x:f>SUMPRODUCT(D10:D103,H10:H103)</x:f>
        <x:v>0</x:v>
      </x:c>
      <x:c r="J5" s="10"/>
      <x:c r="K5" s="11" t="n">
        <x:f>IF((COUNTIF(F10:F103,"구매예정")+COUNTIF(F10:F103,"구매완료")+COUNTIF(F10:F103,"대여/물려받기")+COUNTIF(F10:F103,"선물예정"))=0,0,(COUNTIF(F10:F103,"구매완료")+COUNTIF(F10:F103,"대여/물려받기"))/(COUNTIF(F10:F103,"구매예정")+COUNTIF(F10:F103,"구매완료")+COUNTIF(F10:F103,"대여/물려받기")+COUNTIF(F10:F103,"선물예정")))</x:f>
        <x:v>0</x:v>
      </x:c>
    </x:row>
    <x:row r="7" ht="24" customHeight="1">
      <x:c r="A7" s="13" t="str">
        <x:v>팁: 가격은 1개/1세트 기준 단가로 입력하세요. 맨 아래 빈 행 60개에도 같은 형식이 적용되어 Google Sheets에서 바로 이어 쓸 수 있습니다.</x:v>
      </x:c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9" ht="21" customHeight="1">
      <x:c r="A9" s="15" t="str">
        <x:v>No</x:v>
      </x:c>
      <x:c r="B9" s="15" t="str">
        <x:v>분류</x:v>
      </x:c>
      <x:c r="C9" s="15" t="str">
        <x:v>항목</x:v>
      </x:c>
      <x:c r="D9" s="15" t="str">
        <x:v>수량</x:v>
      </x:c>
      <x:c r="E9" s="15" t="str">
        <x:v>중요도</x:v>
      </x:c>
      <x:c r="F9" s="15" t="str">
        <x:v>구매 상태</x:v>
      </x:c>
      <x:c r="G9" s="15" t="str">
        <x:v>예상 가격</x:v>
      </x:c>
      <x:c r="H9" s="15" t="str">
        <x:v>실 구매 가격</x:v>
      </x:c>
      <x:c r="I9" s="15" t="str">
        <x:v>링크</x:v>
      </x:c>
      <x:c r="J9" s="15" t="str">
        <x:v>메모</x:v>
      </x:c>
      <x:c r="K9" s="15" t="str">
        <x:v>후보 아이템</x:v>
      </x:c>
    </x:row>
    <x:row r="10" ht="24" customHeight="1">
      <x:c r="A10" s="18" t="n">
        <x:f>IF(C10="","",COUNTA($C$10:C10))</x:f>
        <x:v>1</x:v>
      </x:c>
      <x:c r="B10" s="20" t="str">
        <x:v>01 병원서류</x:v>
      </x:c>
      <x:c r="C10" s="18" t="str">
        <x:v>신분증</x:v>
      </x:c>
      <x:c r="D10" s="22" t="n">
        <x:v>1</x:v>
      </x:c>
      <x:c r="E10" s="18" t="str">
        <x:v>필수</x:v>
      </x:c>
      <x:c r="F10" s="18" t="str">
        <x:v>미정</x:v>
      </x:c>
      <x:c r="G10" s="24"/>
      <x:c r="H10" s="24"/>
      <x:c r="I10" s="18" t="str"/>
      <x:c r="J10" s="18" t="str">
        <x:v>필수서류 / 출산가방 / 출산가방 / 산모 신분증</x:v>
      </x:c>
      <x:c r="K10" s="18" t="str"/>
    </x:row>
    <x:row r="11" ht="24" customHeight="1">
      <x:c r="A11" s="19" t="n">
        <x:f>IF(C11="","",COUNTA($C$10:C11))</x:f>
        <x:v>2</x:v>
      </x:c>
      <x:c r="B11" s="21" t="str">
        <x:v>01 병원서류</x:v>
      </x:c>
      <x:c r="C11" s="19" t="str">
        <x:v>산모수첩/진료카드</x:v>
      </x:c>
      <x:c r="D11" s="23" t="n">
        <x:v>1</x:v>
      </x:c>
      <x:c r="E11" s="19" t="str">
        <x:v>필수</x:v>
      </x:c>
      <x:c r="F11" s="19" t="str">
        <x:v>미정</x:v>
      </x:c>
      <x:c r="G11" s="25"/>
      <x:c r="H11" s="25"/>
      <x:c r="I11" s="19" t="str"/>
      <x:c r="J11" s="19" t="str">
        <x:v>필수서류 / 출산가방 / 출산가방 / 병원 앱/카드 포함</x:v>
      </x:c>
      <x:c r="K11" s="19" t="str"/>
    </x:row>
    <x:row r="12" ht="24" customHeight="1">
      <x:c r="A12" s="18" t="n">
        <x:f>IF(C12="","",COUNTA($C$10:C12))</x:f>
        <x:v>3</x:v>
      </x:c>
      <x:c r="B12" s="20" t="str">
        <x:v>01 병원서류</x:v>
      </x:c>
      <x:c r="C12" s="18" t="str">
        <x:v>입원/보험 관련 서류</x:v>
      </x:c>
      <x:c r="D12" s="22" t="n">
        <x:v>1</x:v>
      </x:c>
      <x:c r="E12" s="18" t="str">
        <x:v>추천</x:v>
      </x:c>
      <x:c r="F12" s="18" t="str">
        <x:v>미정</x:v>
      </x:c>
      <x:c r="G12" s="24"/>
      <x:c r="H12" s="24"/>
      <x:c r="I12" s="18" t="str"/>
      <x:c r="J12" s="18" t="str">
        <x:v>필수서류 / 출산가방 / 출산가방 / 병원 안내문 확인</x:v>
      </x:c>
      <x:c r="K12" s="18" t="str"/>
    </x:row>
    <x:row r="13" ht="24" customHeight="1">
      <x:c r="A13" s="19" t="n">
        <x:f>IF(C13="","",COUNTA($C$10:C13))</x:f>
        <x:v>4</x:v>
      </x:c>
      <x:c r="B13" s="21" t="str">
        <x:v>01 병원서류</x:v>
      </x:c>
      <x:c r="C13" s="19" t="str">
        <x:v>보호자 신분증/연락처</x:v>
      </x:c>
      <x:c r="D13" s="23" t="n">
        <x:v>1</x:v>
      </x:c>
      <x:c r="E13" s="19" t="str">
        <x:v>추천</x:v>
      </x:c>
      <x:c r="F13" s="19" t="str">
        <x:v>미정</x:v>
      </x:c>
      <x:c r="G13" s="25"/>
      <x:c r="H13" s="25"/>
      <x:c r="I13" s="19" t="str"/>
      <x:c r="J13" s="19" t="str">
        <x:v>필수서류 / 출산가방 / 출산가방 / 응급 연락처 메모</x:v>
      </x:c>
      <x:c r="K13" s="19" t="str"/>
    </x:row>
    <x:row r="14" ht="24" customHeight="1">
      <x:c r="A14" s="18" t="n">
        <x:f>IF(C14="","",COUNTA($C$10:C14))</x:f>
        <x:v>5</x:v>
      </x:c>
      <x:c r="B14" s="20" t="str">
        <x:v>02 엄마 의류</x:v>
      </x:c>
      <x:c r="C14" s="18" t="str">
        <x:v>수유브라/수유나시</x:v>
      </x:c>
      <x:c r="D14" s="22" t="n">
        <x:v>2</x:v>
      </x:c>
      <x:c r="E14" s="18" t="str">
        <x:v>필수</x:v>
      </x:c>
      <x:c r="F14" s="18" t="str">
        <x:v>미정</x:v>
      </x:c>
      <x:c r="G14" s="24"/>
      <x:c r="H14" s="24"/>
      <x:c r="I14" s="18" t="str"/>
      <x:c r="J14" s="18" t="str">
        <x:v>입원복 / 출산가방 / 출산가방</x:v>
      </x:c>
      <x:c r="K14" s="18" t="str"/>
    </x:row>
    <x:row r="15" ht="24" customHeight="1">
      <x:c r="A15" s="19" t="n">
        <x:f>IF(C15="","",COUNTA($C$10:C15))</x:f>
        <x:v>6</x:v>
      </x:c>
      <x:c r="B15" s="21" t="str">
        <x:v>02 엄마 의류</x:v>
      </x:c>
      <x:c r="C15" s="19" t="str">
        <x:v>산모 팬티</x:v>
      </x:c>
      <x:c r="D15" s="23" t="n">
        <x:v>3</x:v>
      </x:c>
      <x:c r="E15" s="19" t="str">
        <x:v>필수</x:v>
      </x:c>
      <x:c r="F15" s="19" t="str">
        <x:v>미정</x:v>
      </x:c>
      <x:c r="G15" s="25"/>
      <x:c r="H15" s="25"/>
      <x:c r="I15" s="19" t="str"/>
      <x:c r="J15" s="19" t="str">
        <x:v>입원복 / 출산가방 / 출산가방 / 일회용 또는 편한 속옷</x:v>
      </x:c>
      <x:c r="K15" s="19" t="str"/>
    </x:row>
    <x:row r="16" ht="24" customHeight="1">
      <x:c r="A16" s="18" t="n">
        <x:f>IF(C16="","",COUNTA($C$10:C16))</x:f>
        <x:v>7</x:v>
      </x:c>
      <x:c r="B16" s="20" t="str">
        <x:v>02 엄마 의류</x:v>
      </x:c>
      <x:c r="C16" s="18" t="str">
        <x:v>양말</x:v>
      </x:c>
      <x:c r="D16" s="22" t="n">
        <x:v>3</x:v>
      </x:c>
      <x:c r="E16" s="18" t="str">
        <x:v>필수</x:v>
      </x:c>
      <x:c r="F16" s="18" t="str">
        <x:v>미정</x:v>
      </x:c>
      <x:c r="G16" s="24"/>
      <x:c r="H16" s="24"/>
      <x:c r="I16" s="18" t="str"/>
      <x:c r="J16" s="18" t="str">
        <x:v>입원복 / 출산가방 / 출산가방 / 발목 조이지 않는 것</x:v>
      </x:c>
      <x:c r="K16" s="18" t="str"/>
    </x:row>
    <x:row r="17" ht="24" customHeight="1">
      <x:c r="A17" s="19" t="n">
        <x:f>IF(C17="","",COUNTA($C$10:C17))</x:f>
        <x:v>8</x:v>
      </x:c>
      <x:c r="B17" s="21" t="str">
        <x:v>02 엄마 의류</x:v>
      </x:c>
      <x:c r="C17" s="19" t="str">
        <x:v>가디건/얇은 겉옷</x:v>
      </x:c>
      <x:c r="D17" s="23" t="n">
        <x:v>1</x:v>
      </x:c>
      <x:c r="E17" s="19" t="str">
        <x:v>추천</x:v>
      </x:c>
      <x:c r="F17" s="19" t="str">
        <x:v>미정</x:v>
      </x:c>
      <x:c r="G17" s="25"/>
      <x:c r="H17" s="25"/>
      <x:c r="I17" s="19" t="str"/>
      <x:c r="J17" s="19" t="str">
        <x:v>입원복 / 출산가방 / 출산가방 / 병실 온도 조절용</x:v>
      </x:c>
      <x:c r="K17" s="19" t="str"/>
    </x:row>
    <x:row r="18" ht="24" customHeight="1">
      <x:c r="A18" s="18" t="n">
        <x:f>IF(C18="","",COUNTA($C$10:C18))</x:f>
        <x:v>9</x:v>
      </x:c>
      <x:c r="B18" s="20" t="str">
        <x:v>02 엄마 의류</x:v>
      </x:c>
      <x:c r="C18" s="18" t="str">
        <x:v>산모 퇴원복</x:v>
      </x:c>
      <x:c r="D18" s="22" t="n">
        <x:v>1</x:v>
      </x:c>
      <x:c r="E18" s="18" t="str">
        <x:v>필수</x:v>
      </x:c>
      <x:c r="F18" s="18" t="str">
        <x:v>미정</x:v>
      </x:c>
      <x:c r="G18" s="24"/>
      <x:c r="H18" s="24"/>
      <x:c r="I18" s="18" t="str"/>
      <x:c r="J18" s="18" t="str">
        <x:v>퇴원 / 퇴원 전 / 집 / 배를 조이지 않는 옷</x:v>
      </x:c>
      <x:c r="K18" s="18" t="str"/>
    </x:row>
    <x:row r="19" ht="24" customHeight="1">
      <x:c r="A19" s="19" t="n">
        <x:f>IF(C19="","",COUNTA($C$10:C19))</x:f>
        <x:v>10</x:v>
      </x:c>
      <x:c r="B19" s="21" t="str">
        <x:v>03 엄마 위생</x:v>
      </x:c>
      <x:c r="C19" s="19" t="str">
        <x:v>산모패드/오버나이트</x:v>
      </x:c>
      <x:c r="D19" s="23" t="n">
        <x:v>1</x:v>
      </x:c>
      <x:c r="E19" s="19" t="str">
        <x:v>필수</x:v>
      </x:c>
      <x:c r="F19" s="19" t="str">
        <x:v>미정</x:v>
      </x:c>
      <x:c r="G19" s="25"/>
      <x:c r="H19" s="25"/>
      <x:c r="I19" s="19" t="str"/>
      <x:c r="J19" s="19" t="str">
        <x:v>산후관리 / 출산가방 / 출산가방 / 병원 제공 여부 확인</x:v>
      </x:c>
      <x:c r="K19" s="19" t="str"/>
    </x:row>
    <x:row r="20" ht="24" customHeight="1">
      <x:c r="A20" s="18" t="n">
        <x:f>IF(C20="","",COUNTA($C$10:C20))</x:f>
        <x:v>11</x:v>
      </x:c>
      <x:c r="B20" s="20" t="str">
        <x:v>03 엄마 위생</x:v>
      </x:c>
      <x:c r="C20" s="18" t="str">
        <x:v>회음부 방석</x:v>
      </x:c>
      <x:c r="D20" s="22" t="n">
        <x:v>1</x:v>
      </x:c>
      <x:c r="E20" s="18" t="str">
        <x:v>추천</x:v>
      </x:c>
      <x:c r="F20" s="18" t="str">
        <x:v>미정</x:v>
      </x:c>
      <x:c r="G20" s="24"/>
      <x:c r="H20" s="24"/>
      <x:c r="I20" s="18" t="str"/>
      <x:c r="J20" s="18" t="str">
        <x:v>산후관리 / 출산 전 / 집 / 자연분만 예정이면 유용</x:v>
      </x:c>
      <x:c r="K20" s="18" t="str"/>
    </x:row>
    <x:row r="21" ht="24" customHeight="1">
      <x:c r="A21" s="19" t="n">
        <x:f>IF(C21="","",COUNTA($C$10:C21))</x:f>
        <x:v>12</x:v>
      </x:c>
      <x:c r="B21" s="21" t="str">
        <x:v>03 엄마 위생</x:v>
      </x:c>
      <x:c r="C21" s="19" t="str">
        <x:v>개인 세면도구</x:v>
      </x:c>
      <x:c r="D21" s="23" t="n">
        <x:v>1</x:v>
      </x:c>
      <x:c r="E21" s="19" t="str">
        <x:v>필수</x:v>
      </x:c>
      <x:c r="F21" s="19" t="str">
        <x:v>미정</x:v>
      </x:c>
      <x:c r="G21" s="25"/>
      <x:c r="H21" s="25"/>
      <x:c r="I21" s="19" t="str"/>
      <x:c r="J21" s="19" t="str">
        <x:v>세면 / 출산가방 / 출산가방 / 칫솔, 치약, 클렌저</x:v>
      </x:c>
      <x:c r="K21" s="19" t="str"/>
    </x:row>
    <x:row r="22" ht="24" customHeight="1">
      <x:c r="A22" s="18" t="n">
        <x:f>IF(C22="","",COUNTA($C$10:C22))</x:f>
        <x:v>13</x:v>
      </x:c>
      <x:c r="B22" s="20" t="str">
        <x:v>03 엄마 위생</x:v>
      </x:c>
      <x:c r="C22" s="18" t="str">
        <x:v>수건</x:v>
      </x:c>
      <x:c r="D22" s="22" t="n">
        <x:v>2</x:v>
      </x:c>
      <x:c r="E22" s="18" t="str">
        <x:v>추천</x:v>
      </x:c>
      <x:c r="F22" s="18" t="str">
        <x:v>미정</x:v>
      </x:c>
      <x:c r="G22" s="24"/>
      <x:c r="H22" s="24"/>
      <x:c r="I22" s="18" t="str"/>
      <x:c r="J22" s="18" t="str">
        <x:v>세면 / 출산가방 / 출산가방 / 병원 제공 여부 확인</x:v>
      </x:c>
      <x:c r="K22" s="18" t="str"/>
    </x:row>
    <x:row r="23" ht="24" customHeight="1">
      <x:c r="A23" s="19" t="n">
        <x:f>IF(C23="","",COUNTA($C$10:C23))</x:f>
        <x:v>14</x:v>
      </x:c>
      <x:c r="B23" s="21" t="str">
        <x:v>03 엄마 위생</x:v>
      </x:c>
      <x:c r="C23" s="19" t="str">
        <x:v>립밤/보습크림</x:v>
      </x:c>
      <x:c r="D23" s="23" t="n">
        <x:v>1</x:v>
      </x:c>
      <x:c r="E23" s="19" t="str">
        <x:v>추천</x:v>
      </x:c>
      <x:c r="F23" s="19" t="str">
        <x:v>미정</x:v>
      </x:c>
      <x:c r="G23" s="25"/>
      <x:c r="H23" s="25"/>
      <x:c r="I23" s="19" t="str"/>
      <x:c r="J23" s="19" t="str">
        <x:v>보습 / 출산가방 / 출산가방 / 건조 대비</x:v>
      </x:c>
      <x:c r="K23" s="19" t="str"/>
    </x:row>
    <x:row r="24" ht="24" customHeight="1">
      <x:c r="A24" s="18" t="n">
        <x:f>IF(C24="","",COUNTA($C$10:C24))</x:f>
        <x:v>15</x:v>
      </x:c>
      <x:c r="B24" s="20" t="str">
        <x:v>04 수유/회복</x:v>
      </x:c>
      <x:c r="C24" s="18" t="str">
        <x:v>수유패드</x:v>
      </x:c>
      <x:c r="D24" s="22" t="n">
        <x:v>1</x:v>
      </x:c>
      <x:c r="E24" s="18" t="str">
        <x:v>추천</x:v>
      </x:c>
      <x:c r="F24" s="18" t="str">
        <x:v>미정</x:v>
      </x:c>
      <x:c r="G24" s="24"/>
      <x:c r="H24" s="24"/>
      <x:c r="I24" s="18" t="str"/>
      <x:c r="J24" s="18" t="str">
        <x:v>수유 / 출산가방 / 출산가방</x:v>
      </x:c>
      <x:c r="K24" s="18" t="str"/>
    </x:row>
    <x:row r="25" ht="24" customHeight="1">
      <x:c r="A25" s="19" t="n">
        <x:f>IF(C25="","",COUNTA($C$10:C25))</x:f>
        <x:v>16</x:v>
      </x:c>
      <x:c r="B25" s="21" t="str">
        <x:v>04 수유/회복</x:v>
      </x:c>
      <x:c r="C25" s="19" t="str">
        <x:v>유두크림</x:v>
      </x:c>
      <x:c r="D25" s="23" t="n">
        <x:v>1</x:v>
      </x:c>
      <x:c r="E25" s="19" t="str">
        <x:v>추천</x:v>
      </x:c>
      <x:c r="F25" s="19" t="str">
        <x:v>미정</x:v>
      </x:c>
      <x:c r="G25" s="25"/>
      <x:c r="H25" s="25"/>
      <x:c r="I25" s="19" t="str"/>
      <x:c r="J25" s="19" t="str">
        <x:v>수유 / 출산가방 / 출산가방</x:v>
      </x:c>
      <x:c r="K25" s="19" t="str"/>
    </x:row>
    <x:row r="26" ht="24" customHeight="1">
      <x:c r="A26" s="18" t="n">
        <x:f>IF(C26="","",COUNTA($C$10:C26))</x:f>
        <x:v>17</x:v>
      </x:c>
      <x:c r="B26" s="20" t="str">
        <x:v>04 수유/회복</x:v>
      </x:c>
      <x:c r="C26" s="18" t="str">
        <x:v>텀블러/빨대컵</x:v>
      </x:c>
      <x:c r="D26" s="22" t="n">
        <x:v>1</x:v>
      </x:c>
      <x:c r="E26" s="18" t="str">
        <x:v>필수</x:v>
      </x:c>
      <x:c r="F26" s="18" t="str">
        <x:v>미정</x:v>
      </x:c>
      <x:c r="G26" s="24"/>
      <x:c r="H26" s="24"/>
      <x:c r="I26" s="18" t="str"/>
      <x:c r="J26" s="18" t="str">
        <x:v>수분 / 출산가방 / 출산가방 / 누워서 마시기 쉬운 컵</x:v>
      </x:c>
      <x:c r="K26" s="18" t="str"/>
    </x:row>
    <x:row r="27" ht="24" customHeight="1">
      <x:c r="A27" s="19" t="n">
        <x:f>IF(C27="","",COUNTA($C$10:C27))</x:f>
        <x:v>18</x:v>
      </x:c>
      <x:c r="B27" s="21" t="str">
        <x:v>04 수유/회복</x:v>
      </x:c>
      <x:c r="C27" s="19" t="str">
        <x:v>간단한 간식</x:v>
      </x:c>
      <x:c r="D27" s="23" t="n">
        <x:v>1</x:v>
      </x:c>
      <x:c r="E27" s="19" t="str">
        <x:v>선택</x:v>
      </x:c>
      <x:c r="F27" s="19" t="str">
        <x:v>미정</x:v>
      </x:c>
      <x:c r="G27" s="25"/>
      <x:c r="H27" s="25"/>
      <x:c r="I27" s="19" t="str"/>
      <x:c r="J27" s="19" t="str">
        <x:v>영양 / 출산가방 / 출산가방 / 병원 반입 가능 여부 확인</x:v>
      </x:c>
      <x:c r="K27" s="19" t="str"/>
    </x:row>
    <x:row r="28" ht="24" customHeight="1">
      <x:c r="A28" s="18" t="n">
        <x:f>IF(C28="","",COUNTA($C$10:C28))</x:f>
        <x:v>19</x:v>
      </x:c>
      <x:c r="B28" s="20" t="str">
        <x:v>05 아기 의류</x:v>
      </x:c>
      <x:c r="C28" s="18" t="str">
        <x:v>배냇저고리/신생아 바디슈트</x:v>
      </x:c>
      <x:c r="D28" s="22" t="n">
        <x:v>1</x:v>
      </x:c>
      <x:c r="E28" s="18" t="str">
        <x:v>필수</x:v>
      </x:c>
      <x:c r="F28" s="18" t="str">
        <x:v>미정</x:v>
      </x:c>
      <x:c r="G28" s="24"/>
      <x:c r="H28" s="24"/>
      <x:c r="I28" s="18" t="str"/>
      <x:c r="J28" s="18" t="str">
        <x:v>퇴원 / 퇴원 전 / 퇴원가방 / 병원 제공 여부 확인</x:v>
      </x:c>
      <x:c r="K28" s="18" t="str"/>
    </x:row>
    <x:row r="29" ht="24" customHeight="1">
      <x:c r="A29" s="19" t="n">
        <x:f>IF(C29="","",COUNTA($C$10:C29))</x:f>
        <x:v>20</x:v>
      </x:c>
      <x:c r="B29" s="21" t="str">
        <x:v>05 아기 의류</x:v>
      </x:c>
      <x:c r="C29" s="19" t="str">
        <x:v>속싸개</x:v>
      </x:c>
      <x:c r="D29" s="23" t="n">
        <x:v>1</x:v>
      </x:c>
      <x:c r="E29" s="19" t="str">
        <x:v>필수</x:v>
      </x:c>
      <x:c r="F29" s="19" t="str">
        <x:v>미정</x:v>
      </x:c>
      <x:c r="G29" s="25"/>
      <x:c r="H29" s="25"/>
      <x:c r="I29" s="19" t="str"/>
      <x:c r="J29" s="19" t="str">
        <x:v>퇴원 / 퇴원 전 / 퇴원가방</x:v>
      </x:c>
      <x:c r="K29" s="19" t="str"/>
    </x:row>
    <x:row r="30" ht="24" customHeight="1">
      <x:c r="A30" s="18" t="n">
        <x:f>IF(C30="","",COUNTA($C$10:C30))</x:f>
        <x:v>21</x:v>
      </x:c>
      <x:c r="B30" s="20" t="str">
        <x:v>05 아기 의류</x:v>
      </x:c>
      <x:c r="C30" s="18" t="str">
        <x:v>겉싸개/담요</x:v>
      </x:c>
      <x:c r="D30" s="22" t="n">
        <x:v>1</x:v>
      </x:c>
      <x:c r="E30" s="18" t="str">
        <x:v>필수</x:v>
      </x:c>
      <x:c r="F30" s="18" t="str">
        <x:v>미정</x:v>
      </x:c>
      <x:c r="G30" s="24"/>
      <x:c r="H30" s="24"/>
      <x:c r="I30" s="18" t="str"/>
      <x:c r="J30" s="18" t="str">
        <x:v>퇴원 / 퇴원 전 / 퇴원가방 / 계절에 맞게</x:v>
      </x:c>
      <x:c r="K30" s="18" t="str"/>
    </x:row>
    <x:row r="31" ht="24" customHeight="1">
      <x:c r="A31" s="19" t="n">
        <x:f>IF(C31="","",COUNTA($C$10:C31))</x:f>
        <x:v>22</x:v>
      </x:c>
      <x:c r="B31" s="21" t="str">
        <x:v>05 아기 의류</x:v>
      </x:c>
      <x:c r="C31" s="19" t="str">
        <x:v>손싸개/발싸개</x:v>
      </x:c>
      <x:c r="D31" s="23" t="n">
        <x:v>1</x:v>
      </x:c>
      <x:c r="E31" s="19" t="str">
        <x:v>추천</x:v>
      </x:c>
      <x:c r="F31" s="19" t="str">
        <x:v>미정</x:v>
      </x:c>
      <x:c r="G31" s="25"/>
      <x:c r="H31" s="25"/>
      <x:c r="I31" s="19" t="str"/>
      <x:c r="J31" s="19" t="str">
        <x:v>퇴원 / 퇴원 전 / 퇴원가방</x:v>
      </x:c>
      <x:c r="K31" s="19" t="str"/>
    </x:row>
    <x:row r="32" ht="24" customHeight="1">
      <x:c r="A32" s="18" t="n">
        <x:f>IF(C32="","",COUNTA($C$10:C32))</x:f>
        <x:v>23</x:v>
      </x:c>
      <x:c r="B32" s="20" t="str">
        <x:v>05 아기 의류</x:v>
      </x:c>
      <x:c r="C32" s="18" t="str">
        <x:v>신생아 모자</x:v>
      </x:c>
      <x:c r="D32" s="22" t="n">
        <x:v>1</x:v>
      </x:c>
      <x:c r="E32" s="18" t="str">
        <x:v>추천</x:v>
      </x:c>
      <x:c r="F32" s="18" t="str">
        <x:v>미정</x:v>
      </x:c>
      <x:c r="G32" s="24"/>
      <x:c r="H32" s="24"/>
      <x:c r="I32" s="18" t="str"/>
      <x:c r="J32" s="18" t="str">
        <x:v>퇴원 / 퇴원 전 / 퇴원가방 / 계절별</x:v>
      </x:c>
      <x:c r="K32" s="18" t="str"/>
    </x:row>
    <x:row r="33" ht="24" customHeight="1">
      <x:c r="A33" s="19" t="n">
        <x:f>IF(C33="","",COUNTA($C$10:C33))</x:f>
        <x:v>24</x:v>
      </x:c>
      <x:c r="B33" s="21" t="str">
        <x:v>06 아기 위생</x:v>
      </x:c>
      <x:c r="C33" s="19" t="str">
        <x:v>신생아 기저귀</x:v>
      </x:c>
      <x:c r="D33" s="23" t="n">
        <x:v>1</x:v>
      </x:c>
      <x:c r="E33" s="19" t="str">
        <x:v>필수</x:v>
      </x:c>
      <x:c r="F33" s="19" t="str">
        <x:v>미정</x:v>
      </x:c>
      <x:c r="G33" s="25"/>
      <x:c r="H33" s="25"/>
      <x:c r="I33" s="19" t="str"/>
      <x:c r="J33" s="19" t="str">
        <x:v>퇴원 / 퇴원 전 / 퇴원가방 / 병원/조리원 제공 여부 확인</x:v>
      </x:c>
      <x:c r="K33" s="19" t="str"/>
    </x:row>
    <x:row r="34" ht="24" customHeight="1">
      <x:c r="A34" s="18" t="n">
        <x:f>IF(C34="","",COUNTA($C$10:C34))</x:f>
        <x:v>25</x:v>
      </x:c>
      <x:c r="B34" s="20" t="str">
        <x:v>06 아기 위생</x:v>
      </x:c>
      <x:c r="C34" s="18" t="str">
        <x:v>아기 물티슈</x:v>
      </x:c>
      <x:c r="D34" s="22" t="n">
        <x:v>1</x:v>
      </x:c>
      <x:c r="E34" s="18" t="str">
        <x:v>필수</x:v>
      </x:c>
      <x:c r="F34" s="18" t="str">
        <x:v>미정</x:v>
      </x:c>
      <x:c r="G34" s="24"/>
      <x:c r="H34" s="24"/>
      <x:c r="I34" s="18" t="str"/>
      <x:c r="J34" s="18" t="str">
        <x:v>퇴원 / 퇴원 전 / 퇴원가방</x:v>
      </x:c>
      <x:c r="K34" s="18" t="str"/>
    </x:row>
    <x:row r="35" ht="24" customHeight="1">
      <x:c r="A35" s="19" t="n">
        <x:f>IF(C35="","",COUNTA($C$10:C35))</x:f>
        <x:v>26</x:v>
      </x:c>
      <x:c r="B35" s="21" t="str">
        <x:v>06 아기 위생</x:v>
      </x:c>
      <x:c r="C35" s="19" t="str">
        <x:v>거즈손수건</x:v>
      </x:c>
      <x:c r="D35" s="23" t="n">
        <x:v>5</x:v>
      </x:c>
      <x:c r="E35" s="19" t="str">
        <x:v>추천</x:v>
      </x:c>
      <x:c r="F35" s="19" t="str">
        <x:v>미정</x:v>
      </x:c>
      <x:c r="G35" s="25"/>
      <x:c r="H35" s="25"/>
      <x:c r="I35" s="19" t="str"/>
      <x:c r="J35" s="19" t="str">
        <x:v>퇴원 / 퇴원 전 / 세탁필요 / 퇴원가방</x:v>
      </x:c>
      <x:c r="K35" s="19" t="str"/>
    </x:row>
    <x:row r="36" ht="24" customHeight="1">
      <x:c r="A36" s="18" t="n">
        <x:f>IF(C36="","",COUNTA($C$10:C36))</x:f>
        <x:v>27</x:v>
      </x:c>
      <x:c r="B36" s="20" t="str">
        <x:v>07 퇴원/이동</x:v>
      </x:c>
      <x:c r="C36" s="18" t="str">
        <x:v>신생아 카시트</x:v>
      </x:c>
      <x:c r="D36" s="22" t="n">
        <x:v>1</x:v>
      </x:c>
      <x:c r="E36" s="18" t="str">
        <x:v>필수</x:v>
      </x:c>
      <x:c r="F36" s="18" t="str">
        <x:v>미정</x:v>
      </x:c>
      <x:c r="G36" s="24"/>
      <x:c r="H36" s="24"/>
      <x:c r="I36" s="18" t="str"/>
      <x:c r="J36" s="18" t="str">
        <x:v>이동 / 퇴원 전 / 차량 / 퇴원 전 장착 확인</x:v>
      </x:c>
      <x:c r="K36" s="18" t="str"/>
    </x:row>
    <x:row r="37" ht="24" customHeight="1">
      <x:c r="A37" s="19" t="n">
        <x:f>IF(C37="","",COUNTA($C$10:C37))</x:f>
        <x:v>28</x:v>
      </x:c>
      <x:c r="B37" s="21" t="str">
        <x:v>07 퇴원/이동</x:v>
      </x:c>
      <x:c r="C37" s="19" t="str">
        <x:v>기저귀가방</x:v>
      </x:c>
      <x:c r="D37" s="23" t="n">
        <x:v>1</x:v>
      </x:c>
      <x:c r="E37" s="19" t="str">
        <x:v>추천</x:v>
      </x:c>
      <x:c r="F37" s="19" t="str">
        <x:v>미정</x:v>
      </x:c>
      <x:c r="G37" s="25"/>
      <x:c r="H37" s="25"/>
      <x:c r="I37" s="19" t="str"/>
      <x:c r="J37" s="19" t="str">
        <x:v>이동 / 퇴원 전 / 집 / 퇴원 후 외출용</x:v>
      </x:c>
      <x:c r="K37" s="19" t="str"/>
    </x:row>
    <x:row r="38" ht="24" customHeight="1">
      <x:c r="A38" s="18" t="n">
        <x:f>IF(C38="","",COUNTA($C$10:C38))</x:f>
        <x:v>29</x:v>
      </x:c>
      <x:c r="B38" s="20" t="str">
        <x:v>08 전자/편의</x:v>
      </x:c>
      <x:c r="C38" s="18" t="str">
        <x:v>휴대폰 충전기</x:v>
      </x:c>
      <x:c r="D38" s="22" t="n">
        <x:v>1</x:v>
      </x:c>
      <x:c r="E38" s="18" t="str">
        <x:v>필수</x:v>
      </x:c>
      <x:c r="F38" s="18" t="str">
        <x:v>미정</x:v>
      </x:c>
      <x:c r="G38" s="24"/>
      <x:c r="H38" s="24"/>
      <x:c r="I38" s="18" t="str"/>
      <x:c r="J38" s="18" t="str">
        <x:v>충전 / 출산가방 / 출산가방</x:v>
      </x:c>
      <x:c r="K38" s="18" t="str"/>
    </x:row>
    <x:row r="39" ht="24" customHeight="1">
      <x:c r="A39" s="19" t="n">
        <x:f>IF(C39="","",COUNTA($C$10:C39))</x:f>
        <x:v>30</x:v>
      </x:c>
      <x:c r="B39" s="21" t="str">
        <x:v>08 전자/편의</x:v>
      </x:c>
      <x:c r="C39" s="19" t="str">
        <x:v>보조배터리</x:v>
      </x:c>
      <x:c r="D39" s="23" t="n">
        <x:v>1</x:v>
      </x:c>
      <x:c r="E39" s="19" t="str">
        <x:v>추천</x:v>
      </x:c>
      <x:c r="F39" s="19" t="str">
        <x:v>미정</x:v>
      </x:c>
      <x:c r="G39" s="25"/>
      <x:c r="H39" s="25"/>
      <x:c r="I39" s="19" t="str"/>
      <x:c r="J39" s="19" t="str">
        <x:v>충전 / 출산가방 / 출산가방</x:v>
      </x:c>
      <x:c r="K39" s="19" t="str"/>
    </x:row>
    <x:row r="40" ht="24" customHeight="1">
      <x:c r="A40" s="18" t="n">
        <x:f>IF(C40="","",COUNTA($C$10:C40))</x:f>
        <x:v>31</x:v>
      </x:c>
      <x:c r="B40" s="20" t="str">
        <x:v>08 전자/편의</x:v>
      </x:c>
      <x:c r="C40" s="18" t="str">
        <x:v>멀티탭</x:v>
      </x:c>
      <x:c r="D40" s="22" t="n">
        <x:v>1</x:v>
      </x:c>
      <x:c r="E40" s="18" t="str">
        <x:v>선택</x:v>
      </x:c>
      <x:c r="F40" s="18" t="str">
        <x:v>미정</x:v>
      </x:c>
      <x:c r="G40" s="24"/>
      <x:c r="H40" s="24"/>
      <x:c r="I40" s="18" t="str"/>
      <x:c r="J40" s="18" t="str">
        <x:v>전원 / 출산가방 / 출산가방 / 병실 콘센트 위치 대비</x:v>
      </x:c>
      <x:c r="K40" s="18" t="str"/>
    </x:row>
    <x:row r="41" ht="24" customHeight="1">
      <x:c r="A41" s="19" t="n">
        <x:f>IF(C41="","",COUNTA($C$10:C41))</x:f>
        <x:v>32</x:v>
      </x:c>
      <x:c r="B41" s="21" t="str">
        <x:v>08 전자/편의</x:v>
      </x:c>
      <x:c r="C41" s="19" t="str">
        <x:v>이어폰</x:v>
      </x:c>
      <x:c r="D41" s="23" t="n">
        <x:v>1</x:v>
      </x:c>
      <x:c r="E41" s="19" t="str">
        <x:v>선택</x:v>
      </x:c>
      <x:c r="F41" s="19" t="str">
        <x:v>미정</x:v>
      </x:c>
      <x:c r="G41" s="25"/>
      <x:c r="H41" s="25"/>
      <x:c r="I41" s="19" t="str"/>
      <x:c r="J41" s="19" t="str">
        <x:v>휴식 / 출산가방 / 출산가방</x:v>
      </x:c>
      <x:c r="K41" s="19" t="str"/>
    </x:row>
    <x:row r="42" ht="24" customHeight="1">
      <x:c r="A42" s="18" t="n">
        <x:f>IF(C42="","",COUNTA($C$10:C42))</x:f>
        <x:v>33</x:v>
      </x:c>
      <x:c r="B42" s="20" t="str">
        <x:v>09 기타</x:v>
      </x:c>
      <x:c r="C42" s="18" t="str">
        <x:v>지퍼백/비닐봉투</x:v>
      </x:c>
      <x:c r="D42" s="22" t="n">
        <x:v>5</x:v>
      </x:c>
      <x:c r="E42" s="18" t="str">
        <x:v>추천</x:v>
      </x:c>
      <x:c r="F42" s="18" t="str">
        <x:v>미정</x:v>
      </x:c>
      <x:c r="G42" s="24"/>
      <x:c r="H42" s="24"/>
      <x:c r="I42" s="18" t="str"/>
      <x:c r="J42" s="18" t="str">
        <x:v>정리 / 출산가방 / 출산가방 / 젖은 옷/세탁물 분리</x:v>
      </x:c>
      <x:c r="K42" s="18" t="str"/>
    </x:row>
    <x:row r="43" ht="24" customHeight="1">
      <x:c r="A43" s="19" t="n">
        <x:f>IF(C43="","",COUNTA($C$10:C43))</x:f>
        <x:v>34</x:v>
      </x:c>
      <x:c r="B43" s="21" t="str">
        <x:v>09 기타</x:v>
      </x:c>
      <x:c r="C43" s="19" t="str">
        <x:v>작은 파우치</x:v>
      </x:c>
      <x:c r="D43" s="23" t="n">
        <x:v>2</x:v>
      </x:c>
      <x:c r="E43" s="19" t="str">
        <x:v>선택</x:v>
      </x:c>
      <x:c r="F43" s="19" t="str">
        <x:v>미정</x:v>
      </x:c>
      <x:c r="G43" s="25"/>
      <x:c r="H43" s="25"/>
      <x:c r="I43" s="19" t="str"/>
      <x:c r="J43" s="19" t="str">
        <x:v>정리 / 출산가방 / 출산가방 / 카테고리별 분리</x:v>
      </x:c>
      <x:c r="K43" s="19" t="str"/>
    </x:row>
    <x:row r="44" ht="24" customHeight="1">
      <x:c r="A44" s="18" t="str">
        <x:f>IF(C44="","",COUNTA($C$10:C44))</x:f>
      </x:c>
      <x:c r="B44" s="20"/>
      <x:c r="C44" s="18"/>
      <x:c r="D44" s="22"/>
      <x:c r="E44" s="18"/>
      <x:c r="F44" s="18"/>
      <x:c r="G44" s="24"/>
      <x:c r="H44" s="24"/>
      <x:c r="I44" s="18"/>
      <x:c r="J44" s="18"/>
      <x:c r="K44" s="18"/>
    </x:row>
    <x:row r="45" ht="24" customHeight="1">
      <x:c r="A45" s="19" t="str">
        <x:f>IF(C45="","",COUNTA($C$10:C45))</x:f>
      </x:c>
      <x:c r="B45" s="21"/>
      <x:c r="C45" s="19"/>
      <x:c r="D45" s="23"/>
      <x:c r="E45" s="19"/>
      <x:c r="F45" s="19"/>
      <x:c r="G45" s="25"/>
      <x:c r="H45" s="25"/>
      <x:c r="I45" s="19"/>
      <x:c r="J45" s="19"/>
      <x:c r="K45" s="19"/>
    </x:row>
    <x:row r="46" ht="24" customHeight="1">
      <x:c r="A46" s="18" t="str">
        <x:f>IF(C46="","",COUNTA($C$10:C46))</x:f>
      </x:c>
      <x:c r="B46" s="20"/>
      <x:c r="C46" s="18"/>
      <x:c r="D46" s="22"/>
      <x:c r="E46" s="18"/>
      <x:c r="F46" s="18"/>
      <x:c r="G46" s="24"/>
      <x:c r="H46" s="24"/>
      <x:c r="I46" s="18"/>
      <x:c r="J46" s="18"/>
      <x:c r="K46" s="18"/>
    </x:row>
    <x:row r="47" ht="24" customHeight="1">
      <x:c r="A47" s="19" t="str">
        <x:f>IF(C47="","",COUNTA($C$10:C47))</x:f>
      </x:c>
      <x:c r="B47" s="21"/>
      <x:c r="C47" s="19"/>
      <x:c r="D47" s="23"/>
      <x:c r="E47" s="19"/>
      <x:c r="F47" s="19"/>
      <x:c r="G47" s="25"/>
      <x:c r="H47" s="25"/>
      <x:c r="I47" s="19"/>
      <x:c r="J47" s="19"/>
      <x:c r="K47" s="19"/>
    </x:row>
    <x:row r="48" ht="24" customHeight="1">
      <x:c r="A48" s="18" t="str">
        <x:f>IF(C48="","",COUNTA($C$10:C48))</x:f>
      </x:c>
      <x:c r="B48" s="20"/>
      <x:c r="C48" s="18"/>
      <x:c r="D48" s="22"/>
      <x:c r="E48" s="18"/>
      <x:c r="F48" s="18"/>
      <x:c r="G48" s="24"/>
      <x:c r="H48" s="24"/>
      <x:c r="I48" s="18"/>
      <x:c r="J48" s="18"/>
      <x:c r="K48" s="18"/>
    </x:row>
    <x:row r="49" ht="24" customHeight="1">
      <x:c r="A49" s="19" t="str">
        <x:f>IF(C49="","",COUNTA($C$10:C49))</x:f>
      </x:c>
      <x:c r="B49" s="21"/>
      <x:c r="C49" s="19"/>
      <x:c r="D49" s="23"/>
      <x:c r="E49" s="19"/>
      <x:c r="F49" s="19"/>
      <x:c r="G49" s="25"/>
      <x:c r="H49" s="25"/>
      <x:c r="I49" s="19"/>
      <x:c r="J49" s="19"/>
      <x:c r="K49" s="19"/>
    </x:row>
    <x:row r="50" ht="24" customHeight="1">
      <x:c r="A50" s="18" t="str">
        <x:f>IF(C50="","",COUNTA($C$10:C50))</x:f>
      </x:c>
      <x:c r="B50" s="20"/>
      <x:c r="C50" s="18"/>
      <x:c r="D50" s="22"/>
      <x:c r="E50" s="18"/>
      <x:c r="F50" s="18"/>
      <x:c r="G50" s="24"/>
      <x:c r="H50" s="24"/>
      <x:c r="I50" s="18"/>
      <x:c r="J50" s="18"/>
      <x:c r="K50" s="18"/>
    </x:row>
    <x:row r="51" ht="24" customHeight="1">
      <x:c r="A51" s="19" t="str">
        <x:f>IF(C51="","",COUNTA($C$10:C51))</x:f>
      </x:c>
      <x:c r="B51" s="21"/>
      <x:c r="C51" s="19"/>
      <x:c r="D51" s="23"/>
      <x:c r="E51" s="19"/>
      <x:c r="F51" s="19"/>
      <x:c r="G51" s="25"/>
      <x:c r="H51" s="25"/>
      <x:c r="I51" s="19"/>
      <x:c r="J51" s="19"/>
      <x:c r="K51" s="19"/>
    </x:row>
    <x:row r="52" ht="24" customHeight="1">
      <x:c r="A52" s="18" t="str">
        <x:f>IF(C52="","",COUNTA($C$10:C52))</x:f>
      </x:c>
      <x:c r="B52" s="20"/>
      <x:c r="C52" s="18"/>
      <x:c r="D52" s="22"/>
      <x:c r="E52" s="18"/>
      <x:c r="F52" s="18"/>
      <x:c r="G52" s="24"/>
      <x:c r="H52" s="24"/>
      <x:c r="I52" s="18"/>
      <x:c r="J52" s="18"/>
      <x:c r="K52" s="18"/>
    </x:row>
    <x:row r="53" ht="24" customHeight="1">
      <x:c r="A53" s="19" t="str">
        <x:f>IF(C53="","",COUNTA($C$10:C53))</x:f>
      </x:c>
      <x:c r="B53" s="21"/>
      <x:c r="C53" s="19"/>
      <x:c r="D53" s="23"/>
      <x:c r="E53" s="19"/>
      <x:c r="F53" s="19"/>
      <x:c r="G53" s="25"/>
      <x:c r="H53" s="25"/>
      <x:c r="I53" s="19"/>
      <x:c r="J53" s="19"/>
      <x:c r="K53" s="19"/>
    </x:row>
    <x:row r="54" ht="24" customHeight="1">
      <x:c r="A54" s="18" t="str">
        <x:f>IF(C54="","",COUNTA($C$10:C54))</x:f>
      </x:c>
      <x:c r="B54" s="20"/>
      <x:c r="C54" s="18"/>
      <x:c r="D54" s="22"/>
      <x:c r="E54" s="18"/>
      <x:c r="F54" s="18"/>
      <x:c r="G54" s="24"/>
      <x:c r="H54" s="24"/>
      <x:c r="I54" s="18"/>
      <x:c r="J54" s="18"/>
      <x:c r="K54" s="18"/>
    </x:row>
    <x:row r="55" ht="24" customHeight="1">
      <x:c r="A55" s="19" t="str">
        <x:f>IF(C55="","",COUNTA($C$10:C55))</x:f>
      </x:c>
      <x:c r="B55" s="21"/>
      <x:c r="C55" s="19"/>
      <x:c r="D55" s="23"/>
      <x:c r="E55" s="19"/>
      <x:c r="F55" s="19"/>
      <x:c r="G55" s="25"/>
      <x:c r="H55" s="25"/>
      <x:c r="I55" s="19"/>
      <x:c r="J55" s="19"/>
      <x:c r="K55" s="19"/>
    </x:row>
    <x:row r="56" ht="24" customHeight="1">
      <x:c r="A56" s="18" t="str">
        <x:f>IF(C56="","",COUNTA($C$10:C56))</x:f>
      </x:c>
      <x:c r="B56" s="20"/>
      <x:c r="C56" s="18"/>
      <x:c r="D56" s="22"/>
      <x:c r="E56" s="18"/>
      <x:c r="F56" s="18"/>
      <x:c r="G56" s="24"/>
      <x:c r="H56" s="24"/>
      <x:c r="I56" s="18"/>
      <x:c r="J56" s="18"/>
      <x:c r="K56" s="18"/>
    </x:row>
    <x:row r="57" ht="24" customHeight="1">
      <x:c r="A57" s="19" t="str">
        <x:f>IF(C57="","",COUNTA($C$10:C57))</x:f>
      </x:c>
      <x:c r="B57" s="21"/>
      <x:c r="C57" s="19"/>
      <x:c r="D57" s="23"/>
      <x:c r="E57" s="19"/>
      <x:c r="F57" s="19"/>
      <x:c r="G57" s="25"/>
      <x:c r="H57" s="25"/>
      <x:c r="I57" s="19"/>
      <x:c r="J57" s="19"/>
      <x:c r="K57" s="19"/>
    </x:row>
    <x:row r="58" ht="24" customHeight="1">
      <x:c r="A58" s="18" t="str">
        <x:f>IF(C58="","",COUNTA($C$10:C58))</x:f>
      </x:c>
      <x:c r="B58" s="20"/>
      <x:c r="C58" s="18"/>
      <x:c r="D58" s="22"/>
      <x:c r="E58" s="18"/>
      <x:c r="F58" s="18"/>
      <x:c r="G58" s="24"/>
      <x:c r="H58" s="24"/>
      <x:c r="I58" s="18"/>
      <x:c r="J58" s="18"/>
      <x:c r="K58" s="18"/>
    </x:row>
    <x:row r="59" ht="24" customHeight="1">
      <x:c r="A59" s="19" t="str">
        <x:f>IF(C59="","",COUNTA($C$10:C59))</x:f>
      </x:c>
      <x:c r="B59" s="21"/>
      <x:c r="C59" s="19"/>
      <x:c r="D59" s="23"/>
      <x:c r="E59" s="19"/>
      <x:c r="F59" s="19"/>
      <x:c r="G59" s="25"/>
      <x:c r="H59" s="25"/>
      <x:c r="I59" s="19"/>
      <x:c r="J59" s="19"/>
      <x:c r="K59" s="19"/>
    </x:row>
    <x:row r="60" ht="24" customHeight="1">
      <x:c r="A60" s="18" t="str">
        <x:f>IF(C60="","",COUNTA($C$10:C60))</x:f>
      </x:c>
      <x:c r="B60" s="20"/>
      <x:c r="C60" s="18"/>
      <x:c r="D60" s="22"/>
      <x:c r="E60" s="18"/>
      <x:c r="F60" s="18"/>
      <x:c r="G60" s="24"/>
      <x:c r="H60" s="24"/>
      <x:c r="I60" s="18"/>
      <x:c r="J60" s="18"/>
      <x:c r="K60" s="18"/>
    </x:row>
    <x:row r="61" ht="24" customHeight="1">
      <x:c r="A61" s="19" t="str">
        <x:f>IF(C61="","",COUNTA($C$10:C61))</x:f>
      </x:c>
      <x:c r="B61" s="21"/>
      <x:c r="C61" s="19"/>
      <x:c r="D61" s="23"/>
      <x:c r="E61" s="19"/>
      <x:c r="F61" s="19"/>
      <x:c r="G61" s="25"/>
      <x:c r="H61" s="25"/>
      <x:c r="I61" s="19"/>
      <x:c r="J61" s="19"/>
      <x:c r="K61" s="19"/>
    </x:row>
    <x:row r="62" ht="24" customHeight="1">
      <x:c r="A62" s="18" t="str">
        <x:f>IF(C62="","",COUNTA($C$10:C62))</x:f>
      </x:c>
      <x:c r="B62" s="20"/>
      <x:c r="C62" s="18"/>
      <x:c r="D62" s="22"/>
      <x:c r="E62" s="18"/>
      <x:c r="F62" s="18"/>
      <x:c r="G62" s="24"/>
      <x:c r="H62" s="24"/>
      <x:c r="I62" s="18"/>
      <x:c r="J62" s="18"/>
      <x:c r="K62" s="18"/>
    </x:row>
    <x:row r="63" ht="24" customHeight="1">
      <x:c r="A63" s="19" t="str">
        <x:f>IF(C63="","",COUNTA($C$10:C63))</x:f>
      </x:c>
      <x:c r="B63" s="21"/>
      <x:c r="C63" s="19"/>
      <x:c r="D63" s="23"/>
      <x:c r="E63" s="19"/>
      <x:c r="F63" s="19"/>
      <x:c r="G63" s="25"/>
      <x:c r="H63" s="25"/>
      <x:c r="I63" s="19"/>
      <x:c r="J63" s="19"/>
      <x:c r="K63" s="19"/>
    </x:row>
    <x:row r="64" ht="24" customHeight="1">
      <x:c r="A64" s="18" t="str">
        <x:f>IF(C64="","",COUNTA($C$10:C64))</x:f>
      </x:c>
      <x:c r="B64" s="20"/>
      <x:c r="C64" s="18"/>
      <x:c r="D64" s="22"/>
      <x:c r="E64" s="18"/>
      <x:c r="F64" s="18"/>
      <x:c r="G64" s="24"/>
      <x:c r="H64" s="24"/>
      <x:c r="I64" s="18"/>
      <x:c r="J64" s="18"/>
      <x:c r="K64" s="18"/>
    </x:row>
    <x:row r="65" ht="24" customHeight="1">
      <x:c r="A65" s="19" t="str">
        <x:f>IF(C65="","",COUNTA($C$10:C65))</x:f>
      </x:c>
      <x:c r="B65" s="21"/>
      <x:c r="C65" s="19"/>
      <x:c r="D65" s="23"/>
      <x:c r="E65" s="19"/>
      <x:c r="F65" s="19"/>
      <x:c r="G65" s="25"/>
      <x:c r="H65" s="25"/>
      <x:c r="I65" s="19"/>
      <x:c r="J65" s="19"/>
      <x:c r="K65" s="19"/>
    </x:row>
    <x:row r="66" ht="24" customHeight="1">
      <x:c r="A66" s="18" t="str">
        <x:f>IF(C66="","",COUNTA($C$10:C66))</x:f>
      </x:c>
      <x:c r="B66" s="20"/>
      <x:c r="C66" s="18"/>
      <x:c r="D66" s="22"/>
      <x:c r="E66" s="18"/>
      <x:c r="F66" s="18"/>
      <x:c r="G66" s="24"/>
      <x:c r="H66" s="24"/>
      <x:c r="I66" s="18"/>
      <x:c r="J66" s="18"/>
      <x:c r="K66" s="18"/>
    </x:row>
    <x:row r="67" ht="24" customHeight="1">
      <x:c r="A67" s="19" t="str">
        <x:f>IF(C67="","",COUNTA($C$10:C67))</x:f>
      </x:c>
      <x:c r="B67" s="21"/>
      <x:c r="C67" s="19"/>
      <x:c r="D67" s="23"/>
      <x:c r="E67" s="19"/>
      <x:c r="F67" s="19"/>
      <x:c r="G67" s="25"/>
      <x:c r="H67" s="25"/>
      <x:c r="I67" s="19"/>
      <x:c r="J67" s="19"/>
      <x:c r="K67" s="19"/>
    </x:row>
    <x:row r="68" ht="24" customHeight="1">
      <x:c r="A68" s="18" t="str">
        <x:f>IF(C68="","",COUNTA($C$10:C68))</x:f>
      </x:c>
      <x:c r="B68" s="20"/>
      <x:c r="C68" s="18"/>
      <x:c r="D68" s="22"/>
      <x:c r="E68" s="18"/>
      <x:c r="F68" s="18"/>
      <x:c r="G68" s="24"/>
      <x:c r="H68" s="24"/>
      <x:c r="I68" s="18"/>
      <x:c r="J68" s="18"/>
      <x:c r="K68" s="18"/>
    </x:row>
    <x:row r="69" ht="24" customHeight="1">
      <x:c r="A69" s="19" t="str">
        <x:f>IF(C69="","",COUNTA($C$10:C69))</x:f>
      </x:c>
      <x:c r="B69" s="21"/>
      <x:c r="C69" s="19"/>
      <x:c r="D69" s="23"/>
      <x:c r="E69" s="19"/>
      <x:c r="F69" s="19"/>
      <x:c r="G69" s="25"/>
      <x:c r="H69" s="25"/>
      <x:c r="I69" s="19"/>
      <x:c r="J69" s="19"/>
      <x:c r="K69" s="19"/>
    </x:row>
    <x:row r="70" ht="24" customHeight="1">
      <x:c r="A70" s="18" t="str">
        <x:f>IF(C70="","",COUNTA($C$10:C70))</x:f>
      </x:c>
      <x:c r="B70" s="20"/>
      <x:c r="C70" s="18"/>
      <x:c r="D70" s="22"/>
      <x:c r="E70" s="18"/>
      <x:c r="F70" s="18"/>
      <x:c r="G70" s="24"/>
      <x:c r="H70" s="24"/>
      <x:c r="I70" s="18"/>
      <x:c r="J70" s="18"/>
      <x:c r="K70" s="18"/>
    </x:row>
    <x:row r="71" ht="24" customHeight="1">
      <x:c r="A71" s="19" t="str">
        <x:f>IF(C71="","",COUNTA($C$10:C71))</x:f>
      </x:c>
      <x:c r="B71" s="21"/>
      <x:c r="C71" s="19"/>
      <x:c r="D71" s="23"/>
      <x:c r="E71" s="19"/>
      <x:c r="F71" s="19"/>
      <x:c r="G71" s="25"/>
      <x:c r="H71" s="25"/>
      <x:c r="I71" s="19"/>
      <x:c r="J71" s="19"/>
      <x:c r="K71" s="19"/>
    </x:row>
    <x:row r="72" ht="24" customHeight="1">
      <x:c r="A72" s="18" t="str">
        <x:f>IF(C72="","",COUNTA($C$10:C72))</x:f>
      </x:c>
      <x:c r="B72" s="20"/>
      <x:c r="C72" s="18"/>
      <x:c r="D72" s="22"/>
      <x:c r="E72" s="18"/>
      <x:c r="F72" s="18"/>
      <x:c r="G72" s="24"/>
      <x:c r="H72" s="24"/>
      <x:c r="I72" s="18"/>
      <x:c r="J72" s="18"/>
      <x:c r="K72" s="18"/>
    </x:row>
    <x:row r="73" ht="24" customHeight="1">
      <x:c r="A73" s="19" t="str">
        <x:f>IF(C73="","",COUNTA($C$10:C73))</x:f>
      </x:c>
      <x:c r="B73" s="21"/>
      <x:c r="C73" s="19"/>
      <x:c r="D73" s="23"/>
      <x:c r="E73" s="19"/>
      <x:c r="F73" s="19"/>
      <x:c r="G73" s="25"/>
      <x:c r="H73" s="25"/>
      <x:c r="I73" s="19"/>
      <x:c r="J73" s="19"/>
      <x:c r="K73" s="19"/>
    </x:row>
    <x:row r="74" ht="24" customHeight="1">
      <x:c r="A74" s="18" t="str">
        <x:f>IF(C74="","",COUNTA($C$10:C74))</x:f>
      </x:c>
      <x:c r="B74" s="20"/>
      <x:c r="C74" s="18"/>
      <x:c r="D74" s="22"/>
      <x:c r="E74" s="18"/>
      <x:c r="F74" s="18"/>
      <x:c r="G74" s="24"/>
      <x:c r="H74" s="24"/>
      <x:c r="I74" s="18"/>
      <x:c r="J74" s="18"/>
      <x:c r="K74" s="18"/>
    </x:row>
    <x:row r="75" ht="24" customHeight="1">
      <x:c r="A75" s="19" t="str">
        <x:f>IF(C75="","",COUNTA($C$10:C75))</x:f>
      </x:c>
      <x:c r="B75" s="21"/>
      <x:c r="C75" s="19"/>
      <x:c r="D75" s="23"/>
      <x:c r="E75" s="19"/>
      <x:c r="F75" s="19"/>
      <x:c r="G75" s="25"/>
      <x:c r="H75" s="25"/>
      <x:c r="I75" s="19"/>
      <x:c r="J75" s="19"/>
      <x:c r="K75" s="19"/>
    </x:row>
    <x:row r="76" ht="24" customHeight="1">
      <x:c r="A76" s="18" t="str">
        <x:f>IF(C76="","",COUNTA($C$10:C76))</x:f>
      </x:c>
      <x:c r="B76" s="20"/>
      <x:c r="C76" s="18"/>
      <x:c r="D76" s="22"/>
      <x:c r="E76" s="18"/>
      <x:c r="F76" s="18"/>
      <x:c r="G76" s="24"/>
      <x:c r="H76" s="24"/>
      <x:c r="I76" s="18"/>
      <x:c r="J76" s="18"/>
      <x:c r="K76" s="18"/>
    </x:row>
    <x:row r="77" ht="24" customHeight="1">
      <x:c r="A77" s="19" t="str">
        <x:f>IF(C77="","",COUNTA($C$10:C77))</x:f>
      </x:c>
      <x:c r="B77" s="21"/>
      <x:c r="C77" s="19"/>
      <x:c r="D77" s="23"/>
      <x:c r="E77" s="19"/>
      <x:c r="F77" s="19"/>
      <x:c r="G77" s="25"/>
      <x:c r="H77" s="25"/>
      <x:c r="I77" s="19"/>
      <x:c r="J77" s="19"/>
      <x:c r="K77" s="19"/>
    </x:row>
    <x:row r="78" ht="24" customHeight="1">
      <x:c r="A78" s="18" t="str">
        <x:f>IF(C78="","",COUNTA($C$10:C78))</x:f>
      </x:c>
      <x:c r="B78" s="20"/>
      <x:c r="C78" s="18"/>
      <x:c r="D78" s="22"/>
      <x:c r="E78" s="18"/>
      <x:c r="F78" s="18"/>
      <x:c r="G78" s="24"/>
      <x:c r="H78" s="24"/>
      <x:c r="I78" s="18"/>
      <x:c r="J78" s="18"/>
      <x:c r="K78" s="18"/>
    </x:row>
    <x:row r="79" ht="24" customHeight="1">
      <x:c r="A79" s="19" t="str">
        <x:f>IF(C79="","",COUNTA($C$10:C79))</x:f>
      </x:c>
      <x:c r="B79" s="21"/>
      <x:c r="C79" s="19"/>
      <x:c r="D79" s="23"/>
      <x:c r="E79" s="19"/>
      <x:c r="F79" s="19"/>
      <x:c r="G79" s="25"/>
      <x:c r="H79" s="25"/>
      <x:c r="I79" s="19"/>
      <x:c r="J79" s="19"/>
      <x:c r="K79" s="19"/>
    </x:row>
    <x:row r="80" ht="24" customHeight="1">
      <x:c r="A80" s="18" t="str">
        <x:f>IF(C80="","",COUNTA($C$10:C80))</x:f>
      </x:c>
      <x:c r="B80" s="20"/>
      <x:c r="C80" s="18"/>
      <x:c r="D80" s="22"/>
      <x:c r="E80" s="18"/>
      <x:c r="F80" s="18"/>
      <x:c r="G80" s="24"/>
      <x:c r="H80" s="24"/>
      <x:c r="I80" s="18"/>
      <x:c r="J80" s="18"/>
      <x:c r="K80" s="18"/>
    </x:row>
    <x:row r="81" ht="24" customHeight="1">
      <x:c r="A81" s="19" t="str">
        <x:f>IF(C81="","",COUNTA($C$10:C81))</x:f>
      </x:c>
      <x:c r="B81" s="21"/>
      <x:c r="C81" s="19"/>
      <x:c r="D81" s="23"/>
      <x:c r="E81" s="19"/>
      <x:c r="F81" s="19"/>
      <x:c r="G81" s="25"/>
      <x:c r="H81" s="25"/>
      <x:c r="I81" s="19"/>
      <x:c r="J81" s="19"/>
      <x:c r="K81" s="19"/>
    </x:row>
    <x:row r="82" ht="24" customHeight="1">
      <x:c r="A82" s="18" t="str">
        <x:f>IF(C82="","",COUNTA($C$10:C82))</x:f>
      </x:c>
      <x:c r="B82" s="20"/>
      <x:c r="C82" s="18"/>
      <x:c r="D82" s="22"/>
      <x:c r="E82" s="18"/>
      <x:c r="F82" s="18"/>
      <x:c r="G82" s="24"/>
      <x:c r="H82" s="24"/>
      <x:c r="I82" s="18"/>
      <x:c r="J82" s="18"/>
      <x:c r="K82" s="18"/>
    </x:row>
    <x:row r="83" ht="24" customHeight="1">
      <x:c r="A83" s="19" t="str">
        <x:f>IF(C83="","",COUNTA($C$10:C83))</x:f>
      </x:c>
      <x:c r="B83" s="21"/>
      <x:c r="C83" s="19"/>
      <x:c r="D83" s="23"/>
      <x:c r="E83" s="19"/>
      <x:c r="F83" s="19"/>
      <x:c r="G83" s="25"/>
      <x:c r="H83" s="25"/>
      <x:c r="I83" s="19"/>
      <x:c r="J83" s="19"/>
      <x:c r="K83" s="19"/>
    </x:row>
    <x:row r="84" ht="24" customHeight="1">
      <x:c r="A84" s="18" t="str">
        <x:f>IF(C84="","",COUNTA($C$10:C84))</x:f>
      </x:c>
      <x:c r="B84" s="20"/>
      <x:c r="C84" s="18"/>
      <x:c r="D84" s="22"/>
      <x:c r="E84" s="18"/>
      <x:c r="F84" s="18"/>
      <x:c r="G84" s="24"/>
      <x:c r="H84" s="24"/>
      <x:c r="I84" s="18"/>
      <x:c r="J84" s="18"/>
      <x:c r="K84" s="18"/>
    </x:row>
    <x:row r="85" ht="24" customHeight="1">
      <x:c r="A85" s="19" t="str">
        <x:f>IF(C85="","",COUNTA($C$10:C85))</x:f>
      </x:c>
      <x:c r="B85" s="21"/>
      <x:c r="C85" s="19"/>
      <x:c r="D85" s="23"/>
      <x:c r="E85" s="19"/>
      <x:c r="F85" s="19"/>
      <x:c r="G85" s="25"/>
      <x:c r="H85" s="25"/>
      <x:c r="I85" s="19"/>
      <x:c r="J85" s="19"/>
      <x:c r="K85" s="19"/>
    </x:row>
    <x:row r="86" ht="24" customHeight="1">
      <x:c r="A86" s="18" t="str">
        <x:f>IF(C86="","",COUNTA($C$10:C86))</x:f>
      </x:c>
      <x:c r="B86" s="20"/>
      <x:c r="C86" s="18"/>
      <x:c r="D86" s="22"/>
      <x:c r="E86" s="18"/>
      <x:c r="F86" s="18"/>
      <x:c r="G86" s="24"/>
      <x:c r="H86" s="24"/>
      <x:c r="I86" s="18"/>
      <x:c r="J86" s="18"/>
      <x:c r="K86" s="18"/>
    </x:row>
    <x:row r="87" ht="24" customHeight="1">
      <x:c r="A87" s="19" t="str">
        <x:f>IF(C87="","",COUNTA($C$10:C87))</x:f>
      </x:c>
      <x:c r="B87" s="21"/>
      <x:c r="C87" s="19"/>
      <x:c r="D87" s="23"/>
      <x:c r="E87" s="19"/>
      <x:c r="F87" s="19"/>
      <x:c r="G87" s="25"/>
      <x:c r="H87" s="25"/>
      <x:c r="I87" s="19"/>
      <x:c r="J87" s="19"/>
      <x:c r="K87" s="19"/>
    </x:row>
    <x:row r="88" ht="24" customHeight="1">
      <x:c r="A88" s="18" t="str">
        <x:f>IF(C88="","",COUNTA($C$10:C88))</x:f>
      </x:c>
      <x:c r="B88" s="20"/>
      <x:c r="C88" s="18"/>
      <x:c r="D88" s="22"/>
      <x:c r="E88" s="18"/>
      <x:c r="F88" s="18"/>
      <x:c r="G88" s="24"/>
      <x:c r="H88" s="24"/>
      <x:c r="I88" s="18"/>
      <x:c r="J88" s="18"/>
      <x:c r="K88" s="18"/>
    </x:row>
    <x:row r="89" ht="24" customHeight="1">
      <x:c r="A89" s="19" t="str">
        <x:f>IF(C89="","",COUNTA($C$10:C89))</x:f>
      </x:c>
      <x:c r="B89" s="21"/>
      <x:c r="C89" s="19"/>
      <x:c r="D89" s="23"/>
      <x:c r="E89" s="19"/>
      <x:c r="F89" s="19"/>
      <x:c r="G89" s="25"/>
      <x:c r="H89" s="25"/>
      <x:c r="I89" s="19"/>
      <x:c r="J89" s="19"/>
      <x:c r="K89" s="19"/>
    </x:row>
    <x:row r="90" ht="24" customHeight="1">
      <x:c r="A90" s="18" t="str">
        <x:f>IF(C90="","",COUNTA($C$10:C90))</x:f>
      </x:c>
      <x:c r="B90" s="20"/>
      <x:c r="C90" s="18"/>
      <x:c r="D90" s="22"/>
      <x:c r="E90" s="18"/>
      <x:c r="F90" s="18"/>
      <x:c r="G90" s="24"/>
      <x:c r="H90" s="24"/>
      <x:c r="I90" s="18"/>
      <x:c r="J90" s="18"/>
      <x:c r="K90" s="18"/>
    </x:row>
    <x:row r="91" ht="24" customHeight="1">
      <x:c r="A91" s="19" t="str">
        <x:f>IF(C91="","",COUNTA($C$10:C91))</x:f>
      </x:c>
      <x:c r="B91" s="21"/>
      <x:c r="C91" s="19"/>
      <x:c r="D91" s="23"/>
      <x:c r="E91" s="19"/>
      <x:c r="F91" s="19"/>
      <x:c r="G91" s="25"/>
      <x:c r="H91" s="25"/>
      <x:c r="I91" s="19"/>
      <x:c r="J91" s="19"/>
      <x:c r="K91" s="19"/>
    </x:row>
    <x:row r="92" ht="24" customHeight="1">
      <x:c r="A92" s="18" t="str">
        <x:f>IF(C92="","",COUNTA($C$10:C92))</x:f>
      </x:c>
      <x:c r="B92" s="20"/>
      <x:c r="C92" s="18"/>
      <x:c r="D92" s="22"/>
      <x:c r="E92" s="18"/>
      <x:c r="F92" s="18"/>
      <x:c r="G92" s="24"/>
      <x:c r="H92" s="24"/>
      <x:c r="I92" s="18"/>
      <x:c r="J92" s="18"/>
      <x:c r="K92" s="18"/>
    </x:row>
    <x:row r="93" ht="24" customHeight="1">
      <x:c r="A93" s="19" t="str">
        <x:f>IF(C93="","",COUNTA($C$10:C93))</x:f>
      </x:c>
      <x:c r="B93" s="21"/>
      <x:c r="C93" s="19"/>
      <x:c r="D93" s="23"/>
      <x:c r="E93" s="19"/>
      <x:c r="F93" s="19"/>
      <x:c r="G93" s="25"/>
      <x:c r="H93" s="25"/>
      <x:c r="I93" s="19"/>
      <x:c r="J93" s="19"/>
      <x:c r="K93" s="19"/>
    </x:row>
    <x:row r="94" ht="24" customHeight="1">
      <x:c r="A94" s="18" t="str">
        <x:f>IF(C94="","",COUNTA($C$10:C94))</x:f>
      </x:c>
      <x:c r="B94" s="20"/>
      <x:c r="C94" s="18"/>
      <x:c r="D94" s="22"/>
      <x:c r="E94" s="18"/>
      <x:c r="F94" s="18"/>
      <x:c r="G94" s="24"/>
      <x:c r="H94" s="24"/>
      <x:c r="I94" s="18"/>
      <x:c r="J94" s="18"/>
      <x:c r="K94" s="18"/>
    </x:row>
    <x:row r="95" ht="24" customHeight="1">
      <x:c r="A95" s="19" t="str">
        <x:f>IF(C95="","",COUNTA($C$10:C95))</x:f>
      </x:c>
      <x:c r="B95" s="21"/>
      <x:c r="C95" s="19"/>
      <x:c r="D95" s="23"/>
      <x:c r="E95" s="19"/>
      <x:c r="F95" s="19"/>
      <x:c r="G95" s="25"/>
      <x:c r="H95" s="25"/>
      <x:c r="I95" s="19"/>
      <x:c r="J95" s="19"/>
      <x:c r="K95" s="19"/>
    </x:row>
    <x:row r="96" ht="24" customHeight="1">
      <x:c r="A96" s="18" t="str">
        <x:f>IF(C96="","",COUNTA($C$10:C96))</x:f>
      </x:c>
      <x:c r="B96" s="20"/>
      <x:c r="C96" s="18"/>
      <x:c r="D96" s="22"/>
      <x:c r="E96" s="18"/>
      <x:c r="F96" s="18"/>
      <x:c r="G96" s="24"/>
      <x:c r="H96" s="24"/>
      <x:c r="I96" s="18"/>
      <x:c r="J96" s="18"/>
      <x:c r="K96" s="18"/>
    </x:row>
    <x:row r="97" ht="24" customHeight="1">
      <x:c r="A97" s="19" t="str">
        <x:f>IF(C97="","",COUNTA($C$10:C97))</x:f>
      </x:c>
      <x:c r="B97" s="21"/>
      <x:c r="C97" s="19"/>
      <x:c r="D97" s="23"/>
      <x:c r="E97" s="19"/>
      <x:c r="F97" s="19"/>
      <x:c r="G97" s="25"/>
      <x:c r="H97" s="25"/>
      <x:c r="I97" s="19"/>
      <x:c r="J97" s="19"/>
      <x:c r="K97" s="19"/>
    </x:row>
    <x:row r="98" ht="24" customHeight="1">
      <x:c r="A98" s="18" t="str">
        <x:f>IF(C98="","",COUNTA($C$10:C98))</x:f>
      </x:c>
      <x:c r="B98" s="20"/>
      <x:c r="C98" s="18"/>
      <x:c r="D98" s="22"/>
      <x:c r="E98" s="18"/>
      <x:c r="F98" s="18"/>
      <x:c r="G98" s="24"/>
      <x:c r="H98" s="24"/>
      <x:c r="I98" s="18"/>
      <x:c r="J98" s="18"/>
      <x:c r="K98" s="18"/>
    </x:row>
    <x:row r="99" ht="24" customHeight="1">
      <x:c r="A99" s="19" t="str">
        <x:f>IF(C99="","",COUNTA($C$10:C99))</x:f>
      </x:c>
      <x:c r="B99" s="21"/>
      <x:c r="C99" s="19"/>
      <x:c r="D99" s="23"/>
      <x:c r="E99" s="19"/>
      <x:c r="F99" s="19"/>
      <x:c r="G99" s="25"/>
      <x:c r="H99" s="25"/>
      <x:c r="I99" s="19"/>
      <x:c r="J99" s="19"/>
      <x:c r="K99" s="19"/>
    </x:row>
    <x:row r="100" ht="24" customHeight="1">
      <x:c r="A100" s="18" t="str">
        <x:f>IF(C100="","",COUNTA($C$10:C100))</x:f>
      </x:c>
      <x:c r="B100" s="20"/>
      <x:c r="C100" s="18"/>
      <x:c r="D100" s="22"/>
      <x:c r="E100" s="18"/>
      <x:c r="F100" s="18"/>
      <x:c r="G100" s="24"/>
      <x:c r="H100" s="24"/>
      <x:c r="I100" s="18"/>
      <x:c r="J100" s="18"/>
      <x:c r="K100" s="18"/>
    </x:row>
    <x:row r="101" ht="24" customHeight="1">
      <x:c r="A101" s="19" t="str">
        <x:f>IF(C101="","",COUNTA($C$10:C101))</x:f>
      </x:c>
      <x:c r="B101" s="21"/>
      <x:c r="C101" s="19"/>
      <x:c r="D101" s="23"/>
      <x:c r="E101" s="19"/>
      <x:c r="F101" s="19"/>
      <x:c r="G101" s="25"/>
      <x:c r="H101" s="25"/>
      <x:c r="I101" s="19"/>
      <x:c r="J101" s="19"/>
      <x:c r="K101" s="19"/>
    </x:row>
    <x:row r="102" ht="24" customHeight="1">
      <x:c r="A102" s="18" t="str">
        <x:f>IF(C102="","",COUNTA($C$10:C102))</x:f>
      </x:c>
      <x:c r="B102" s="20"/>
      <x:c r="C102" s="18"/>
      <x:c r="D102" s="22"/>
      <x:c r="E102" s="18"/>
      <x:c r="F102" s="18"/>
      <x:c r="G102" s="24"/>
      <x:c r="H102" s="24"/>
      <x:c r="I102" s="18"/>
      <x:c r="J102" s="18"/>
      <x:c r="K102" s="18"/>
    </x:row>
    <x:row r="103" ht="24" customHeight="1">
      <x:c r="A103" s="19" t="str">
        <x:f>IF(C103="","",COUNTA($C$10:C103))</x:f>
      </x:c>
      <x:c r="B103" s="21"/>
      <x:c r="C103" s="19"/>
      <x:c r="D103" s="23"/>
      <x:c r="E103" s="19"/>
      <x:c r="F103" s="19"/>
      <x:c r="G103" s="25"/>
      <x:c r="H103" s="25"/>
      <x:c r="I103" s="19"/>
      <x:c r="J103" s="19"/>
      <x:c r="K103" s="19"/>
    </x:row>
  </x:sheetData>
  <x:mergeCells>
    <x:mergeCell ref="A1:K1"/>
    <x:mergeCell ref="A2:K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A7:K7"/>
  </x:mergeCells>
  <x:conditionalFormatting sqref="E10:E103">
    <x:cfRule type="containsText" dxfId="0" priority="1" operator="containsText" text="필수"/>
    <x:cfRule type="containsText" dxfId="1" priority="2" operator="containsText" text="추천"/>
    <x:cfRule type="containsText" dxfId="2" priority="3" operator="containsText" text="선택"/>
  </x:conditionalFormatting>
  <x:conditionalFormatting sqref="F10:F103">
    <x:cfRule type="containsText" dxfId="3" priority="4" operator="containsText" text="구매완료"/>
    <x:cfRule type="containsText" dxfId="4" priority="5" operator="containsText" text="구매예정"/>
    <x:cfRule type="containsText" dxfId="5" priority="6" operator="containsText" text="대여/물려받기"/>
    <x:cfRule type="containsText" dxfId="6" priority="7" operator="containsText" text="선물예정"/>
    <x:cfRule type="containsText" dxfId="7" priority="8" operator="containsText" text="불필요"/>
  </x:conditionalFormatting>
  <x:dataValidations count="3">
    <x:dataValidation type="list" sqref="B10:B103">
      <x:formula1>"01 병원서류,02 엄마 의류,03 엄마 위생,04 수유/회복,05 아기 의류,06 아기 위생,07 퇴원/이동,08 전자/편의,09 기타"</x:formula1>
    </x:dataValidation>
    <x:dataValidation type="list" sqref="E10:E103">
      <x:formula1>"필수,추천,선택,계절/상황별"</x:formula1>
    </x:dataValidation>
    <x:dataValidation type="list" sqref="F10:F103">
      <x:formula1>"미정,구매예정,구매완료,대여/물려받기,선물예정,보류,불필요"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596b3215aa42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4.109999656677246" hidden="0" customWidth="1"/>
    <x:col min="3" max="3" width="26.3799991607666" hidden="0" customWidth="1"/>
    <x:col min="4" max="4" width="7.239999771118164" hidden="0" customWidth="1"/>
    <x:col min="5" max="5" width="9.9399995803833" hidden="0" customWidth="1"/>
    <x:col min="6" max="6" width="13.130000114440918" hidden="0" customWidth="1"/>
    <x:col min="7" max="7" width="11.899999618530273" hidden="0" customWidth="1"/>
    <x:col min="8" max="8" width="12.640000343322754" hidden="0" customWidth="1"/>
    <x:col min="9" max="9" width="20.25" hidden="0" customWidth="1"/>
    <x:col min="10" max="10" width="31.290000915527344" hidden="0" customWidth="1"/>
    <x:col min="11" max="11" width="22.700000762939453" hidden="0" customWidth="1"/>
  </x:cols>
  <x:sheetData>
    <x:row r="1" ht="27" customHeight="1">
      <x:c r="A1" s="2" t="str">
        <x:v>조리원 2주 살림 준비물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9.5" customHeight="1">
      <x:c r="A2" s="4" t="str">
        <x:v>산모 회복, 수유, 퇴소 준비까지 편하게 챙기는 조리원 체크리스트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20.25" customHeight="1">
      <x:c r="A4" s="6" t="str">
        <x:v>전체 항목</x:v>
      </x:c>
      <x:c r="B4" s="6"/>
      <x:c r="C4" s="6" t="str">
        <x:v>구매 완료</x:v>
      </x:c>
      <x:c r="D4" s="6"/>
      <x:c r="E4" s="6" t="str">
        <x:v>진행 대상</x:v>
      </x:c>
      <x:c r="F4" s="6"/>
      <x:c r="G4" s="6" t="str">
        <x:v>예상 예산</x:v>
      </x:c>
      <x:c r="H4" s="6"/>
      <x:c r="I4" s="6" t="str">
        <x:v>실구매 합계</x:v>
      </x:c>
      <x:c r="J4" s="6"/>
      <x:c r="K4" s="6" t="str">
        <x:v>준비 완료율</x:v>
      </x:c>
    </x:row>
    <x:row r="5" ht="20.25" customHeight="1">
      <x:c r="A5" s="9" t="n">
        <x:f>COUNTA(C10:C110)</x:f>
        <x:v>41</x:v>
      </x:c>
      <x:c r="B5" s="9"/>
      <x:c r="C5" s="9" t="n">
        <x:f>COUNTIF(F10:F110,"구매완료")+COUNTIF(F10:F110,"대여/물려받기")</x:f>
        <x:v>0</x:v>
      </x:c>
      <x:c r="D5" s="9"/>
      <x:c r="E5" s="9" t="n">
        <x:f>COUNTIF(F10:F110,"구매예정")+COUNTIF(F10:F110,"구매완료")+COUNTIF(F10:F110,"대여/물려받기")+COUNTIF(F10:F110,"선물예정")</x:f>
        <x:v>0</x:v>
      </x:c>
      <x:c r="F5" s="9"/>
      <x:c r="G5" s="10" t="n">
        <x:f>SUMPRODUCT(D10:D110,G10:G110)</x:f>
        <x:v>0</x:v>
      </x:c>
      <x:c r="H5" s="10"/>
      <x:c r="I5" s="10" t="n">
        <x:f>SUMPRODUCT(D10:D110,H10:H110)</x:f>
        <x:v>0</x:v>
      </x:c>
      <x:c r="J5" s="10"/>
      <x:c r="K5" s="11" t="n">
        <x:f>IF((COUNTIF(F10:F110,"구매예정")+COUNTIF(F10:F110,"구매완료")+COUNTIF(F10:F110,"대여/물려받기")+COUNTIF(F10:F110,"선물예정"))=0,0,(COUNTIF(F10:F110,"구매완료")+COUNTIF(F10:F110,"대여/물려받기"))/(COUNTIF(F10:F110,"구매예정")+COUNTIF(F10:F110,"구매완료")+COUNTIF(F10:F110,"대여/물려받기")+COUNTIF(F10:F110,"선물예정")))</x:f>
        <x:v>0</x:v>
      </x:c>
    </x:row>
    <x:row r="7" ht="24" customHeight="1">
      <x:c r="A7" s="13" t="str">
        <x:v>팁: 가격은 1개/1세트 기준 단가로 입력하세요. 맨 아래 빈 행 60개에도 같은 형식이 적용되어 Google Sheets에서 바로 이어 쓸 수 있습니다.</x:v>
      </x:c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9" ht="21" customHeight="1">
      <x:c r="A9" s="15" t="str">
        <x:v>No</x:v>
      </x:c>
      <x:c r="B9" s="15" t="str">
        <x:v>분류</x:v>
      </x:c>
      <x:c r="C9" s="15" t="str">
        <x:v>항목</x:v>
      </x:c>
      <x:c r="D9" s="15" t="str">
        <x:v>수량</x:v>
      </x:c>
      <x:c r="E9" s="15" t="str">
        <x:v>중요도</x:v>
      </x:c>
      <x:c r="F9" s="15" t="str">
        <x:v>구매 상태</x:v>
      </x:c>
      <x:c r="G9" s="15" t="str">
        <x:v>예상 가격</x:v>
      </x:c>
      <x:c r="H9" s="15" t="str">
        <x:v>실 구매 가격</x:v>
      </x:c>
      <x:c r="I9" s="15" t="str">
        <x:v>링크</x:v>
      </x:c>
      <x:c r="J9" s="15" t="str">
        <x:v>메모</x:v>
      </x:c>
      <x:c r="K9" s="15" t="str">
        <x:v>후보 아이템</x:v>
      </x:c>
    </x:row>
    <x:row r="10" ht="24" customHeight="1">
      <x:c r="A10" s="18" t="n">
        <x:f>IF(C10="","",COUNTA($C$10:C10))</x:f>
        <x:v>1</x:v>
      </x:c>
      <x:c r="B10" s="20" t="str">
        <x:v>01 엄마 의류</x:v>
      </x:c>
      <x:c r="C10" s="18" t="str">
        <x:v>수유복/앞트임 잠옷</x:v>
      </x:c>
      <x:c r="D10" s="22" t="n">
        <x:v>3</x:v>
      </x:c>
      <x:c r="E10" s="18" t="str">
        <x:v>필수</x:v>
      </x:c>
      <x:c r="F10" s="18" t="str">
        <x:v>미정</x:v>
      </x:c>
      <x:c r="G10" s="24"/>
      <x:c r="H10" s="24"/>
      <x:c r="I10" s="18" t="str"/>
      <x:c r="J10" s="18" t="str">
        <x:v>실내복 / 조리원 입소 전 / 조리원가방</x:v>
      </x:c>
      <x:c r="K10" s="18" t="str"/>
    </x:row>
    <x:row r="11" ht="24" customHeight="1">
      <x:c r="A11" s="19" t="n">
        <x:f>IF(C11="","",COUNTA($C$10:C11))</x:f>
        <x:v>2</x:v>
      </x:c>
      <x:c r="B11" s="21" t="str">
        <x:v>01 엄마 의류</x:v>
      </x:c>
      <x:c r="C11" s="19" t="str">
        <x:v>가디건/얇은 겉옷</x:v>
      </x:c>
      <x:c r="D11" s="23" t="n">
        <x:v>1</x:v>
      </x:c>
      <x:c r="E11" s="19" t="str">
        <x:v>추천</x:v>
      </x:c>
      <x:c r="F11" s="19" t="str">
        <x:v>미정</x:v>
      </x:c>
      <x:c r="G11" s="25"/>
      <x:c r="H11" s="25"/>
      <x:c r="I11" s="19" t="str"/>
      <x:c r="J11" s="19" t="str">
        <x:v>실내복 / 조리원 입소 전 / 조리원가방</x:v>
      </x:c>
      <x:c r="K11" s="19" t="str"/>
    </x:row>
    <x:row r="12" ht="24" customHeight="1">
      <x:c r="A12" s="18" t="n">
        <x:f>IF(C12="","",COUNTA($C$10:C12))</x:f>
        <x:v>3</x:v>
      </x:c>
      <x:c r="B12" s="20" t="str">
        <x:v>01 엄마 의류</x:v>
      </x:c>
      <x:c r="C12" s="18" t="str">
        <x:v>수유브라/수유나시</x:v>
      </x:c>
      <x:c r="D12" s="22" t="n">
        <x:v>3</x:v>
      </x:c>
      <x:c r="E12" s="18" t="str">
        <x:v>필수</x:v>
      </x:c>
      <x:c r="F12" s="18" t="str">
        <x:v>미정</x:v>
      </x:c>
      <x:c r="G12" s="24"/>
      <x:c r="H12" s="24"/>
      <x:c r="I12" s="18" t="str"/>
      <x:c r="J12" s="18" t="str">
        <x:v>속옷 / 조리원 입소 전 / 조리원가방</x:v>
      </x:c>
      <x:c r="K12" s="18" t="str"/>
    </x:row>
    <x:row r="13" ht="24" customHeight="1">
      <x:c r="A13" s="19" t="n">
        <x:f>IF(C13="","",COUNTA($C$10:C13))</x:f>
        <x:v>4</x:v>
      </x:c>
      <x:c r="B13" s="21" t="str">
        <x:v>01 엄마 의류</x:v>
      </x:c>
      <x:c r="C13" s="19" t="str">
        <x:v>산모 팬티</x:v>
      </x:c>
      <x:c r="D13" s="23" t="n">
        <x:v>5</x:v>
      </x:c>
      <x:c r="E13" s="19" t="str">
        <x:v>필수</x:v>
      </x:c>
      <x:c r="F13" s="19" t="str">
        <x:v>미정</x:v>
      </x:c>
      <x:c r="G13" s="25"/>
      <x:c r="H13" s="25"/>
      <x:c r="I13" s="19" t="str"/>
      <x:c r="J13" s="19" t="str">
        <x:v>속옷 / 조리원 입소 전 / 조리원가방</x:v>
      </x:c>
      <x:c r="K13" s="19" t="str"/>
    </x:row>
    <x:row r="14" ht="24" customHeight="1">
      <x:c r="A14" s="18" t="n">
        <x:f>IF(C14="","",COUNTA($C$10:C14))</x:f>
        <x:v>5</x:v>
      </x:c>
      <x:c r="B14" s="20" t="str">
        <x:v>01 엄마 의류</x:v>
      </x:c>
      <x:c r="C14" s="18" t="str">
        <x:v>양말</x:v>
      </x:c>
      <x:c r="D14" s="22" t="n">
        <x:v>5</x:v>
      </x:c>
      <x:c r="E14" s="18" t="str">
        <x:v>필수</x:v>
      </x:c>
      <x:c r="F14" s="18" t="str">
        <x:v>미정</x:v>
      </x:c>
      <x:c r="G14" s="24"/>
      <x:c r="H14" s="24"/>
      <x:c r="I14" s="18" t="str"/>
      <x:c r="J14" s="18" t="str">
        <x:v>보온 / 조리원 입소 전 / 조리원가방</x:v>
      </x:c>
      <x:c r="K14" s="18" t="str"/>
    </x:row>
    <x:row r="15" ht="24" customHeight="1">
      <x:c r="A15" s="19" t="n">
        <x:f>IF(C15="","",COUNTA($C$10:C15))</x:f>
        <x:v>6</x:v>
      </x:c>
      <x:c r="B15" s="21" t="str">
        <x:v>01 엄마 의류</x:v>
      </x:c>
      <x:c r="C15" s="19" t="str">
        <x:v>실내용 슬리퍼</x:v>
      </x:c>
      <x:c r="D15" s="23" t="n">
        <x:v>1</x:v>
      </x:c>
      <x:c r="E15" s="19" t="str">
        <x:v>추천</x:v>
      </x:c>
      <x:c r="F15" s="19" t="str">
        <x:v>미정</x:v>
      </x:c>
      <x:c r="G15" s="25"/>
      <x:c r="H15" s="25"/>
      <x:c r="I15" s="19" t="str"/>
      <x:c r="J15" s="19" t="str">
        <x:v>생활 / 조리원 입소 전 / 조리원가방 / 미끄럽지 않은 것</x:v>
      </x:c>
      <x:c r="K15" s="19" t="str"/>
    </x:row>
    <x:row r="16" ht="24" customHeight="1">
      <x:c r="A16" s="18" t="n">
        <x:f>IF(C16="","",COUNTA($C$10:C16))</x:f>
        <x:v>7</x:v>
      </x:c>
      <x:c r="B16" s="20" t="str">
        <x:v>02 엄마 위생</x:v>
      </x:c>
      <x:c r="C16" s="18" t="str">
        <x:v>산모패드/생리대</x:v>
      </x:c>
      <x:c r="D16" s="22" t="n">
        <x:v>1</x:v>
      </x:c>
      <x:c r="E16" s="18" t="str">
        <x:v>필수</x:v>
      </x:c>
      <x:c r="F16" s="18" t="str">
        <x:v>미정</x:v>
      </x:c>
      <x:c r="G16" s="24"/>
      <x:c r="H16" s="24"/>
      <x:c r="I16" s="18" t="str"/>
      <x:c r="J16" s="18" t="str">
        <x:v>산후관리 / 조리원 입소 전 / 조리원가방 / 조리원 제공 여부 확인</x:v>
      </x:c>
      <x:c r="K16" s="18" t="str"/>
    </x:row>
    <x:row r="17" ht="24" customHeight="1">
      <x:c r="A17" s="19" t="n">
        <x:f>IF(C17="","",COUNTA($C$10:C17))</x:f>
        <x:v>8</x:v>
      </x:c>
      <x:c r="B17" s="21" t="str">
        <x:v>02 엄마 위생</x:v>
      </x:c>
      <x:c r="C17" s="19" t="str">
        <x:v>회음부 방석</x:v>
      </x:c>
      <x:c r="D17" s="23" t="n">
        <x:v>1</x:v>
      </x:c>
      <x:c r="E17" s="19" t="str">
        <x:v>추천</x:v>
      </x:c>
      <x:c r="F17" s="19" t="str">
        <x:v>미정</x:v>
      </x:c>
      <x:c r="G17" s="25"/>
      <x:c r="H17" s="25"/>
      <x:c r="I17" s="19" t="str"/>
      <x:c r="J17" s="19" t="str">
        <x:v>산후관리 / 조리원 입소 전 / 조리원가방</x:v>
      </x:c>
      <x:c r="K17" s="19" t="str"/>
    </x:row>
    <x:row r="18" ht="24" customHeight="1">
      <x:c r="A18" s="18" t="n">
        <x:f>IF(C18="","",COUNTA($C$10:C18))</x:f>
        <x:v>9</x:v>
      </x:c>
      <x:c r="B18" s="20" t="str">
        <x:v>02 엄마 위생</x:v>
      </x:c>
      <x:c r="C18" s="18" t="str">
        <x:v>칫솔/치약</x:v>
      </x:c>
      <x:c r="D18" s="22" t="n">
        <x:v>1</x:v>
      </x:c>
      <x:c r="E18" s="18" t="str">
        <x:v>필수</x:v>
      </x:c>
      <x:c r="F18" s="18" t="str">
        <x:v>미정</x:v>
      </x:c>
      <x:c r="G18" s="24"/>
      <x:c r="H18" s="24"/>
      <x:c r="I18" s="18" t="str"/>
      <x:c r="J18" s="18" t="str">
        <x:v>세면 / 조리원 입소 전 / 조리원가방</x:v>
      </x:c>
      <x:c r="K18" s="18" t="str"/>
    </x:row>
    <x:row r="19" ht="24" customHeight="1">
      <x:c r="A19" s="19" t="n">
        <x:f>IF(C19="","",COUNTA($C$10:C19))</x:f>
        <x:v>10</x:v>
      </x:c>
      <x:c r="B19" s="21" t="str">
        <x:v>02 엄마 위생</x:v>
      </x:c>
      <x:c r="C19" s="19" t="str">
        <x:v>샴푸/트리트먼트/바디워시</x:v>
      </x:c>
      <x:c r="D19" s="23" t="n">
        <x:v>1</x:v>
      </x:c>
      <x:c r="E19" s="19" t="str">
        <x:v>추천</x:v>
      </x:c>
      <x:c r="F19" s="19" t="str">
        <x:v>미정</x:v>
      </x:c>
      <x:c r="G19" s="25"/>
      <x:c r="H19" s="25"/>
      <x:c r="I19" s="19" t="str"/>
      <x:c r="J19" s="19" t="str">
        <x:v>세면 / 조리원 입소 전 / 조리원가방 / 제공 여부 확인</x:v>
      </x:c>
      <x:c r="K19" s="19" t="str"/>
    </x:row>
    <x:row r="20" ht="24" customHeight="1">
      <x:c r="A20" s="18" t="n">
        <x:f>IF(C20="","",COUNTA($C$10:C20))</x:f>
        <x:v>11</x:v>
      </x:c>
      <x:c r="B20" s="20" t="str">
        <x:v>02 엄마 위생</x:v>
      </x:c>
      <x:c r="C20" s="18" t="str">
        <x:v>수건</x:v>
      </x:c>
      <x:c r="D20" s="22" t="n">
        <x:v>3</x:v>
      </x:c>
      <x:c r="E20" s="18" t="str">
        <x:v>추천</x:v>
      </x:c>
      <x:c r="F20" s="18" t="str">
        <x:v>미정</x:v>
      </x:c>
      <x:c r="G20" s="24"/>
      <x:c r="H20" s="24"/>
      <x:c r="I20" s="18" t="str"/>
      <x:c r="J20" s="18" t="str">
        <x:v>세면 / 조리원 입소 전 / 조리원가방 / 제공 여부 확인</x:v>
      </x:c>
      <x:c r="K20" s="18" t="str"/>
    </x:row>
    <x:row r="21" ht="24" customHeight="1">
      <x:c r="A21" s="19" t="n">
        <x:f>IF(C21="","",COUNTA($C$10:C21))</x:f>
        <x:v>12</x:v>
      </x:c>
      <x:c r="B21" s="21" t="str">
        <x:v>02 엄마 위생</x:v>
      </x:c>
      <x:c r="C21" s="19" t="str">
        <x:v>스킨케어/보습크림</x:v>
      </x:c>
      <x:c r="D21" s="23" t="n">
        <x:v>1</x:v>
      </x:c>
      <x:c r="E21" s="19" t="str">
        <x:v>추천</x:v>
      </x:c>
      <x:c r="F21" s="19" t="str">
        <x:v>미정</x:v>
      </x:c>
      <x:c r="G21" s="25"/>
      <x:c r="H21" s="25"/>
      <x:c r="I21" s="19" t="str"/>
      <x:c r="J21" s="19" t="str">
        <x:v>보습 / 조리원 입소 전 / 조리원가방</x:v>
      </x:c>
      <x:c r="K21" s="19" t="str"/>
    </x:row>
    <x:row r="22" ht="24" customHeight="1">
      <x:c r="A22" s="18" t="n">
        <x:f>IF(C22="","",COUNTA($C$10:C22))</x:f>
        <x:v>13</x:v>
      </x:c>
      <x:c r="B22" s="20" t="str">
        <x:v>02 엄마 위생</x:v>
      </x:c>
      <x:c r="C22" s="18" t="str">
        <x:v>머리끈/헤어밴드</x:v>
      </x:c>
      <x:c r="D22" s="22" t="n">
        <x:v>3</x:v>
      </x:c>
      <x:c r="E22" s="18" t="str">
        <x:v>추천</x:v>
      </x:c>
      <x:c r="F22" s="18" t="str">
        <x:v>미정</x:v>
      </x:c>
      <x:c r="G22" s="24"/>
      <x:c r="H22" s="24"/>
      <x:c r="I22" s="18" t="str"/>
      <x:c r="J22" s="18" t="str">
        <x:v>헤어 / 조리원 입소 전 / 조리원가방</x:v>
      </x:c>
      <x:c r="K22" s="18" t="str"/>
    </x:row>
    <x:row r="23" ht="24" customHeight="1">
      <x:c r="A23" s="19" t="n">
        <x:f>IF(C23="","",COUNTA($C$10:C23))</x:f>
        <x:v>14</x:v>
      </x:c>
      <x:c r="B23" s="21" t="str">
        <x:v>03 수유</x:v>
      </x:c>
      <x:c r="C23" s="19" t="str">
        <x:v>수유패드</x:v>
      </x:c>
      <x:c r="D23" s="23" t="n">
        <x:v>1</x:v>
      </x:c>
      <x:c r="E23" s="19" t="str">
        <x:v>필수</x:v>
      </x:c>
      <x:c r="F23" s="19" t="str">
        <x:v>미정</x:v>
      </x:c>
      <x:c r="G23" s="25"/>
      <x:c r="H23" s="25"/>
      <x:c r="I23" s="19" t="str"/>
      <x:c r="J23" s="19" t="str">
        <x:v>모유수유 / 조리원 입소 전 / 조리원가방</x:v>
      </x:c>
      <x:c r="K23" s="19" t="str"/>
    </x:row>
    <x:row r="24" ht="24" customHeight="1">
      <x:c r="A24" s="18" t="n">
        <x:f>IF(C24="","",COUNTA($C$10:C24))</x:f>
        <x:v>15</x:v>
      </x:c>
      <x:c r="B24" s="20" t="str">
        <x:v>03 수유</x:v>
      </x:c>
      <x:c r="C24" s="18" t="str">
        <x:v>유두크림</x:v>
      </x:c>
      <x:c r="D24" s="22" t="n">
        <x:v>1</x:v>
      </x:c>
      <x:c r="E24" s="18" t="str">
        <x:v>추천</x:v>
      </x:c>
      <x:c r="F24" s="18" t="str">
        <x:v>미정</x:v>
      </x:c>
      <x:c r="G24" s="24"/>
      <x:c r="H24" s="24"/>
      <x:c r="I24" s="18" t="str"/>
      <x:c r="J24" s="18" t="str">
        <x:v>모유수유 / 조리원 입소 전 / 조리원가방</x:v>
      </x:c>
      <x:c r="K24" s="18" t="str"/>
    </x:row>
    <x:row r="25" ht="24" customHeight="1">
      <x:c r="A25" s="19" t="n">
        <x:f>IF(C25="","",COUNTA($C$10:C25))</x:f>
        <x:v>16</x:v>
      </x:c>
      <x:c r="B25" s="21" t="str">
        <x:v>03 수유</x:v>
      </x:c>
      <x:c r="C25" s="19" t="str">
        <x:v>모유저장팩</x:v>
      </x:c>
      <x:c r="D25" s="23" t="n">
        <x:v>1</x:v>
      </x:c>
      <x:c r="E25" s="19" t="str">
        <x:v>추천</x:v>
      </x:c>
      <x:c r="F25" s="19" t="str">
        <x:v>미정</x:v>
      </x:c>
      <x:c r="G25" s="25"/>
      <x:c r="H25" s="25"/>
      <x:c r="I25" s="19" t="str"/>
      <x:c r="J25" s="19" t="str">
        <x:v>모유수유 / 조리원 입소 전 / 조리원가방</x:v>
      </x:c>
      <x:c r="K25" s="19" t="str"/>
    </x:row>
    <x:row r="26" ht="24" customHeight="1">
      <x:c r="A26" s="18" t="n">
        <x:f>IF(C26="","",COUNTA($C$10:C26))</x:f>
        <x:v>17</x:v>
      </x:c>
      <x:c r="B26" s="20" t="str">
        <x:v>03 수유</x:v>
      </x:c>
      <x:c r="C26" s="18" t="str">
        <x:v>유축기 호환 깔때기/부품</x:v>
      </x:c>
      <x:c r="D26" s="22" t="n">
        <x:v>1</x:v>
      </x:c>
      <x:c r="E26" s="18" t="str">
        <x:v>선택</x:v>
      </x:c>
      <x:c r="F26" s="18" t="str">
        <x:v>미정</x:v>
      </x:c>
      <x:c r="G26" s="24"/>
      <x:c r="H26" s="24"/>
      <x:c r="I26" s="18" t="str"/>
      <x:c r="J26" s="18" t="str">
        <x:v>모유수유 / 조리원 입소 전 / 소독필요 / 조리원가방 / 조리원 유축기 모델 확인</x:v>
      </x:c>
      <x:c r="K26" s="18" t="str"/>
    </x:row>
    <x:row r="27" ht="24" customHeight="1">
      <x:c r="A27" s="19" t="n">
        <x:f>IF(C27="","",COUNTA($C$10:C27))</x:f>
        <x:v>18</x:v>
      </x:c>
      <x:c r="B27" s="21" t="str">
        <x:v>03 수유</x:v>
      </x:c>
      <x:c r="C27" s="19" t="str">
        <x:v>수유쿠션</x:v>
      </x:c>
      <x:c r="D27" s="23" t="n">
        <x:v>1</x:v>
      </x:c>
      <x:c r="E27" s="19" t="str">
        <x:v>선택</x:v>
      </x:c>
      <x:c r="F27" s="19" t="str">
        <x:v>미정</x:v>
      </x:c>
      <x:c r="G27" s="25"/>
      <x:c r="H27" s="25"/>
      <x:c r="I27" s="19" t="str"/>
      <x:c r="J27" s="19" t="str">
        <x:v>모유수유 / 조리원 입소 전 / 집/조리원 / 조리원 제공 여부 확인</x:v>
      </x:c>
      <x:c r="K27" s="19" t="str"/>
    </x:row>
    <x:row r="28" ht="24" customHeight="1">
      <x:c r="A28" s="18" t="n">
        <x:f>IF(C28="","",COUNTA($C$10:C28))</x:f>
        <x:v>19</x:v>
      </x:c>
      <x:c r="B28" s="20" t="str">
        <x:v>03 수유</x:v>
      </x:c>
      <x:c r="C28" s="18" t="str">
        <x:v>손목보호대</x:v>
      </x:c>
      <x:c r="D28" s="22" t="n">
        <x:v>1</x:v>
      </x:c>
      <x:c r="E28" s="18" t="str">
        <x:v>추천</x:v>
      </x:c>
      <x:c r="F28" s="18" t="str">
        <x:v>미정</x:v>
      </x:c>
      <x:c r="G28" s="24"/>
      <x:c r="H28" s="24"/>
      <x:c r="I28" s="18" t="str"/>
      <x:c r="J28" s="18" t="str">
        <x:v>회복 / 조리원 입소 전 / 조리원가방</x:v>
      </x:c>
      <x:c r="K28" s="18" t="str"/>
    </x:row>
    <x:row r="29" ht="24" customHeight="1">
      <x:c r="A29" s="19" t="n">
        <x:f>IF(C29="","",COUNTA($C$10:C29))</x:f>
        <x:v>20</x:v>
      </x:c>
      <x:c r="B29" s="21" t="str">
        <x:v>03 수유</x:v>
      </x:c>
      <x:c r="C29" s="19" t="str">
        <x:v>산후복대</x:v>
      </x:c>
      <x:c r="D29" s="23" t="n">
        <x:v>1</x:v>
      </x:c>
      <x:c r="E29" s="19" t="str">
        <x:v>선택</x:v>
      </x:c>
      <x:c r="F29" s="19" t="str">
        <x:v>미정</x:v>
      </x:c>
      <x:c r="G29" s="25"/>
      <x:c r="H29" s="25"/>
      <x:c r="I29" s="19" t="str"/>
      <x:c r="J29" s="19" t="str">
        <x:v>회복 / 조리원 입소 전 / 조리원가방</x:v>
      </x:c>
      <x:c r="K29" s="19" t="str"/>
    </x:row>
    <x:row r="30" ht="24" customHeight="1">
      <x:c r="A30" s="18" t="n">
        <x:f>IF(C30="","",COUNTA($C$10:C30))</x:f>
        <x:v>21</x:v>
      </x:c>
      <x:c r="B30" s="20" t="str">
        <x:v>04 생활/정리</x:v>
      </x:c>
      <x:c r="C30" s="18" t="str">
        <x:v>텀블러/빨대컵</x:v>
      </x:c>
      <x:c r="D30" s="22" t="n">
        <x:v>1</x:v>
      </x:c>
      <x:c r="E30" s="18" t="str">
        <x:v>필수</x:v>
      </x:c>
      <x:c r="F30" s="18" t="str">
        <x:v>미정</x:v>
      </x:c>
      <x:c r="G30" s="24"/>
      <x:c r="H30" s="24"/>
      <x:c r="I30" s="18" t="str"/>
      <x:c r="J30" s="18" t="str">
        <x:v>물컵 / 조리원 입소 전 / 조리원가방</x:v>
      </x:c>
      <x:c r="K30" s="18" t="str"/>
    </x:row>
    <x:row r="31" ht="24" customHeight="1">
      <x:c r="A31" s="19" t="n">
        <x:f>IF(C31="","",COUNTA($C$10:C31))</x:f>
        <x:v>22</x:v>
      </x:c>
      <x:c r="B31" s="21" t="str">
        <x:v>04 생활/정리</x:v>
      </x:c>
      <x:c r="C31" s="19" t="str">
        <x:v>세탁망</x:v>
      </x:c>
      <x:c r="D31" s="23" t="n">
        <x:v>2</x:v>
      </x:c>
      <x:c r="E31" s="19" t="str">
        <x:v>추천</x:v>
      </x:c>
      <x:c r="F31" s="19" t="str">
        <x:v>미정</x:v>
      </x:c>
      <x:c r="G31" s="25"/>
      <x:c r="H31" s="25"/>
      <x:c r="I31" s="19" t="str"/>
      <x:c r="J31" s="19" t="str">
        <x:v>세탁 / 조리원 생활 / 조리원가방</x:v>
      </x:c>
      <x:c r="K31" s="19" t="str"/>
    </x:row>
    <x:row r="32" ht="24" customHeight="1">
      <x:c r="A32" s="18" t="n">
        <x:f>IF(C32="","",COUNTA($C$10:C32))</x:f>
        <x:v>23</x:v>
      </x:c>
      <x:c r="B32" s="20" t="str">
        <x:v>04 생활/정리</x:v>
      </x:c>
      <x:c r="C32" s="18" t="str">
        <x:v>소량 세탁세제</x:v>
      </x:c>
      <x:c r="D32" s="22" t="n">
        <x:v>1</x:v>
      </x:c>
      <x:c r="E32" s="18" t="str">
        <x:v>선택</x:v>
      </x:c>
      <x:c r="F32" s="18" t="str">
        <x:v>미정</x:v>
      </x:c>
      <x:c r="G32" s="24"/>
      <x:c r="H32" s="24"/>
      <x:c r="I32" s="18" t="str"/>
      <x:c r="J32" s="18" t="str">
        <x:v>세탁 / 조리원 생활 / 조리원가방 / 세탁 서비스 여부 확인</x:v>
      </x:c>
      <x:c r="K32" s="18" t="str"/>
    </x:row>
    <x:row r="33" ht="24" customHeight="1">
      <x:c r="A33" s="19" t="n">
        <x:f>IF(C33="","",COUNTA($C$10:C33))</x:f>
        <x:v>24</x:v>
      </x:c>
      <x:c r="B33" s="21" t="str">
        <x:v>04 생활/정리</x:v>
      </x:c>
      <x:c r="C33" s="19" t="str">
        <x:v>지퍼백/비닐봉투</x:v>
      </x:c>
      <x:c r="D33" s="23" t="n">
        <x:v>5</x:v>
      </x:c>
      <x:c r="E33" s="19" t="str">
        <x:v>추천</x:v>
      </x:c>
      <x:c r="F33" s="19" t="str">
        <x:v>미정</x:v>
      </x:c>
      <x:c r="G33" s="25"/>
      <x:c r="H33" s="25"/>
      <x:c r="I33" s="19" t="str"/>
      <x:c r="J33" s="19" t="str">
        <x:v>수납 / 조리원 생활 / 조리원가방 / 세탁물/소품 분리</x:v>
      </x:c>
      <x:c r="K33" s="19" t="str"/>
    </x:row>
    <x:row r="34" ht="24" customHeight="1">
      <x:c r="A34" s="18" t="n">
        <x:f>IF(C34="","",COUNTA($C$10:C34))</x:f>
        <x:v>25</x:v>
      </x:c>
      <x:c r="B34" s="20" t="str">
        <x:v>04 생활/정리</x:v>
      </x:c>
      <x:c r="C34" s="18" t="str">
        <x:v>파우치</x:v>
      </x:c>
      <x:c r="D34" s="22" t="n">
        <x:v>2</x:v>
      </x:c>
      <x:c r="E34" s="18" t="str">
        <x:v>추천</x:v>
      </x:c>
      <x:c r="F34" s="18" t="str">
        <x:v>미정</x:v>
      </x:c>
      <x:c r="G34" s="24"/>
      <x:c r="H34" s="24"/>
      <x:c r="I34" s="18" t="str"/>
      <x:c r="J34" s="18" t="str">
        <x:v>수납 / 조리원 입소 전 / 조리원가방 / 수유/세면/전자 분리</x:v>
      </x:c>
      <x:c r="K34" s="18" t="str"/>
    </x:row>
    <x:row r="35" ht="24" customHeight="1">
      <x:c r="A35" s="19" t="n">
        <x:f>IF(C35="","",COUNTA($C$10:C35))</x:f>
        <x:v>26</x:v>
      </x:c>
      <x:c r="B35" s="21" t="str">
        <x:v>04 생활/정리</x:v>
      </x:c>
      <x:c r="C35" s="19" t="str">
        <x:v>개인 영양제/처방약</x:v>
      </x:c>
      <x:c r="D35" s="23" t="n">
        <x:v>1</x:v>
      </x:c>
      <x:c r="E35" s="19" t="str">
        <x:v>필수</x:v>
      </x:c>
      <x:c r="F35" s="19" t="str">
        <x:v>미정</x:v>
      </x:c>
      <x:c r="G35" s="25"/>
      <x:c r="H35" s="25"/>
      <x:c r="I35" s="19" t="str"/>
      <x:c r="J35" s="19" t="str">
        <x:v>건강 / 조리원 입소 전 / 조리원가방 / 복용법 메모</x:v>
      </x:c>
      <x:c r="K35" s="19" t="str"/>
    </x:row>
    <x:row r="36" ht="24" customHeight="1">
      <x:c r="A36" s="18" t="n">
        <x:f>IF(C36="","",COUNTA($C$10:C36))</x:f>
        <x:v>27</x:v>
      </x:c>
      <x:c r="B36" s="20" t="str">
        <x:v>04 생활/정리</x:v>
      </x:c>
      <x:c r="C36" s="18" t="str">
        <x:v>간단한 간식</x:v>
      </x:c>
      <x:c r="D36" s="22" t="n">
        <x:v>1</x:v>
      </x:c>
      <x:c r="E36" s="18" t="str">
        <x:v>선택</x:v>
      </x:c>
      <x:c r="F36" s="18" t="str">
        <x:v>미정</x:v>
      </x:c>
      <x:c r="G36" s="24"/>
      <x:c r="H36" s="24"/>
      <x:c r="I36" s="18" t="str"/>
      <x:c r="J36" s="18" t="str">
        <x:v>간식 / 조리원 생활 / 조리원가방 / 반입 규정 확인</x:v>
      </x:c>
      <x:c r="K36" s="18" t="str"/>
    </x:row>
    <x:row r="37" ht="24" customHeight="1">
      <x:c r="A37" s="19" t="n">
        <x:f>IF(C37="","",COUNTA($C$10:C37))</x:f>
        <x:v>28</x:v>
      </x:c>
      <x:c r="B37" s="21" t="str">
        <x:v>05 아기 용품</x:v>
      </x:c>
      <x:c r="C37" s="19" t="str">
        <x:v>아기 손수건</x:v>
      </x:c>
      <x:c r="D37" s="23" t="n">
        <x:v>10</x:v>
      </x:c>
      <x:c r="E37" s="19" t="str">
        <x:v>추천</x:v>
      </x:c>
      <x:c r="F37" s="19" t="str">
        <x:v>미정</x:v>
      </x:c>
      <x:c r="G37" s="25"/>
      <x:c r="H37" s="25"/>
      <x:c r="I37" s="19" t="str"/>
      <x:c r="J37" s="19" t="str">
        <x:v>면회/수유 / 조리원 입소 전 / 세탁필요 / 조리원가방 / 조리원 제공 여부 확인</x:v>
      </x:c>
      <x:c r="K37" s="19" t="str"/>
    </x:row>
    <x:row r="38" ht="24" customHeight="1">
      <x:c r="A38" s="18" t="n">
        <x:f>IF(C38="","",COUNTA($C$10:C38))</x:f>
        <x:v>29</x:v>
      </x:c>
      <x:c r="B38" s="20" t="str">
        <x:v>05 아기 용품</x:v>
      </x:c>
      <x:c r="C38" s="18" t="str">
        <x:v>퇴소용 배냇저고리/바디슈트</x:v>
      </x:c>
      <x:c r="D38" s="22" t="n">
        <x:v>1</x:v>
      </x:c>
      <x:c r="E38" s="18" t="str">
        <x:v>필수</x:v>
      </x:c>
      <x:c r="F38" s="18" t="str">
        <x:v>미정</x:v>
      </x:c>
      <x:c r="G38" s="24"/>
      <x:c r="H38" s="24"/>
      <x:c r="I38" s="18" t="str"/>
      <x:c r="J38" s="18" t="str">
        <x:v>퇴소 / 퇴원 전 / 세탁필요 / 퇴소가방</x:v>
      </x:c>
      <x:c r="K38" s="18" t="str"/>
    </x:row>
    <x:row r="39" ht="24" customHeight="1">
      <x:c r="A39" s="19" t="n">
        <x:f>IF(C39="","",COUNTA($C$10:C39))</x:f>
        <x:v>30</x:v>
      </x:c>
      <x:c r="B39" s="21" t="str">
        <x:v>05 아기 용품</x:v>
      </x:c>
      <x:c r="C39" s="19" t="str">
        <x:v>속싸개</x:v>
      </x:c>
      <x:c r="D39" s="23" t="n">
        <x:v>1</x:v>
      </x:c>
      <x:c r="E39" s="19" t="str">
        <x:v>필수</x:v>
      </x:c>
      <x:c r="F39" s="19" t="str">
        <x:v>미정</x:v>
      </x:c>
      <x:c r="G39" s="25"/>
      <x:c r="H39" s="25"/>
      <x:c r="I39" s="19" t="str"/>
      <x:c r="J39" s="19" t="str">
        <x:v>퇴소 / 퇴원 전 / 세탁필요 / 퇴소가방</x:v>
      </x:c>
      <x:c r="K39" s="19" t="str"/>
    </x:row>
    <x:row r="40" ht="24" customHeight="1">
      <x:c r="A40" s="18" t="n">
        <x:f>IF(C40="","",COUNTA($C$10:C40))</x:f>
        <x:v>31</x:v>
      </x:c>
      <x:c r="B40" s="20" t="str">
        <x:v>05 아기 용품</x:v>
      </x:c>
      <x:c r="C40" s="18" t="str">
        <x:v>겉싸개/담요</x:v>
      </x:c>
      <x:c r="D40" s="22" t="n">
        <x:v>1</x:v>
      </x:c>
      <x:c r="E40" s="18" t="str">
        <x:v>필수</x:v>
      </x:c>
      <x:c r="F40" s="18" t="str">
        <x:v>미정</x:v>
      </x:c>
      <x:c r="G40" s="24"/>
      <x:c r="H40" s="24"/>
      <x:c r="I40" s="18" t="str"/>
      <x:c r="J40" s="18" t="str">
        <x:v>퇴소 / 퇴원 전 / 세탁필요 / 퇴소가방 / 계절에 맞게</x:v>
      </x:c>
      <x:c r="K40" s="18" t="str"/>
    </x:row>
    <x:row r="41" ht="24" customHeight="1">
      <x:c r="A41" s="19" t="n">
        <x:f>IF(C41="","",COUNTA($C$10:C41))</x:f>
        <x:v>32</x:v>
      </x:c>
      <x:c r="B41" s="21" t="str">
        <x:v>05 아기 용품</x:v>
      </x:c>
      <x:c r="C41" s="19" t="str">
        <x:v>기저귀/물티슈</x:v>
      </x:c>
      <x:c r="D41" s="23" t="n">
        <x:v>1</x:v>
      </x:c>
      <x:c r="E41" s="19" t="str">
        <x:v>필수</x:v>
      </x:c>
      <x:c r="F41" s="19" t="str">
        <x:v>미정</x:v>
      </x:c>
      <x:c r="G41" s="25"/>
      <x:c r="H41" s="25"/>
      <x:c r="I41" s="19" t="str"/>
      <x:c r="J41" s="19" t="str">
        <x:v>퇴소 / 퇴원 전 / 퇴소가방 / 이동 중 사용</x:v>
      </x:c>
      <x:c r="K41" s="19" t="str"/>
    </x:row>
    <x:row r="42" ht="24" customHeight="1">
      <x:c r="A42" s="18" t="n">
        <x:f>IF(C42="","",COUNTA($C$10:C42))</x:f>
        <x:v>33</x:v>
      </x:c>
      <x:c r="B42" s="20" t="str">
        <x:v>05 아기 용품</x:v>
      </x:c>
      <x:c r="C42" s="18" t="str">
        <x:v>촬영 소품</x:v>
      </x:c>
      <x:c r="D42" s="22" t="n">
        <x:v>1</x:v>
      </x:c>
      <x:c r="E42" s="18" t="str">
        <x:v>선택</x:v>
      </x:c>
      <x:c r="F42" s="18" t="str">
        <x:v>미정</x:v>
      </x:c>
      <x:c r="G42" s="24"/>
      <x:c r="H42" s="24"/>
      <x:c r="I42" s="18" t="str"/>
      <x:c r="J42" s="18" t="str">
        <x:v>사진 / 조리원 생활 / 조리원가방 / 이름표, 작은 담요 등</x:v>
      </x:c>
      <x:c r="K42" s="18" t="str"/>
    </x:row>
    <x:row r="43" ht="24" customHeight="1">
      <x:c r="A43" s="19" t="n">
        <x:f>IF(C43="","",COUNTA($C$10:C43))</x:f>
        <x:v>34</x:v>
      </x:c>
      <x:c r="B43" s="21" t="str">
        <x:v>06 전자/편의</x:v>
      </x:c>
      <x:c r="C43" s="19" t="str">
        <x:v>휴대폰 충전기</x:v>
      </x:c>
      <x:c r="D43" s="23" t="n">
        <x:v>1</x:v>
      </x:c>
      <x:c r="E43" s="19" t="str">
        <x:v>필수</x:v>
      </x:c>
      <x:c r="F43" s="19" t="str">
        <x:v>미정</x:v>
      </x:c>
      <x:c r="G43" s="25"/>
      <x:c r="H43" s="25"/>
      <x:c r="I43" s="19" t="str"/>
      <x:c r="J43" s="19" t="str">
        <x:v>충전 / 조리원 입소 전 / 조리원가방</x:v>
      </x:c>
      <x:c r="K43" s="19" t="str"/>
    </x:row>
    <x:row r="44" ht="24" customHeight="1">
      <x:c r="A44" s="18" t="n">
        <x:f>IF(C44="","",COUNTA($C$10:C44))</x:f>
        <x:v>35</x:v>
      </x:c>
      <x:c r="B44" s="20" t="str">
        <x:v>06 전자/편의</x:v>
      </x:c>
      <x:c r="C44" s="18" t="str">
        <x:v>보조배터리</x:v>
      </x:c>
      <x:c r="D44" s="22" t="n">
        <x:v>1</x:v>
      </x:c>
      <x:c r="E44" s="18" t="str">
        <x:v>추천</x:v>
      </x:c>
      <x:c r="F44" s="18" t="str">
        <x:v>미정</x:v>
      </x:c>
      <x:c r="G44" s="24"/>
      <x:c r="H44" s="24"/>
      <x:c r="I44" s="18" t="str"/>
      <x:c r="J44" s="18" t="str">
        <x:v>충전 / 조리원 입소 전 / 조리원가방</x:v>
      </x:c>
      <x:c r="K44" s="18" t="str"/>
    </x:row>
    <x:row r="45" ht="24" customHeight="1">
      <x:c r="A45" s="19" t="n">
        <x:f>IF(C45="","",COUNTA($C$10:C45))</x:f>
        <x:v>36</x:v>
      </x:c>
      <x:c r="B45" s="21" t="str">
        <x:v>06 전자/편의</x:v>
      </x:c>
      <x:c r="C45" s="19" t="str">
        <x:v>멀티탭</x:v>
      </x:c>
      <x:c r="D45" s="23" t="n">
        <x:v>1</x:v>
      </x:c>
      <x:c r="E45" s="19" t="str">
        <x:v>선택</x:v>
      </x:c>
      <x:c r="F45" s="19" t="str">
        <x:v>미정</x:v>
      </x:c>
      <x:c r="G45" s="25"/>
      <x:c r="H45" s="25"/>
      <x:c r="I45" s="19" t="str"/>
      <x:c r="J45" s="19" t="str">
        <x:v>전원 / 조리원 입소 전 / 조리원가방 / 콘센트 부족 대비</x:v>
      </x:c>
      <x:c r="K45" s="19" t="str"/>
    </x:row>
    <x:row r="46" ht="24" customHeight="1">
      <x:c r="A46" s="18" t="n">
        <x:f>IF(C46="","",COUNTA($C$10:C46))</x:f>
        <x:v>37</x:v>
      </x:c>
      <x:c r="B46" s="20" t="str">
        <x:v>06 전자/편의</x:v>
      </x:c>
      <x:c r="C46" s="18" t="str">
        <x:v>이어폰</x:v>
      </x:c>
      <x:c r="D46" s="22" t="n">
        <x:v>1</x:v>
      </x:c>
      <x:c r="E46" s="18" t="str">
        <x:v>추천</x:v>
      </x:c>
      <x:c r="F46" s="18" t="str">
        <x:v>미정</x:v>
      </x:c>
      <x:c r="G46" s="24"/>
      <x:c r="H46" s="24"/>
      <x:c r="I46" s="18" t="str"/>
      <x:c r="J46" s="18" t="str">
        <x:v>휴식 / 조리원 입소 전 / 조리원가방</x:v>
      </x:c>
      <x:c r="K46" s="18" t="str"/>
    </x:row>
    <x:row r="47" ht="24" customHeight="1">
      <x:c r="A47" s="19" t="n">
        <x:f>IF(C47="","",COUNTA($C$10:C47))</x:f>
        <x:v>38</x:v>
      </x:c>
      <x:c r="B47" s="21" t="str">
        <x:v>06 전자/편의</x:v>
      </x:c>
      <x:c r="C47" s="19" t="str">
        <x:v>노트북/태블릿</x:v>
      </x:c>
      <x:c r="D47" s="23" t="n">
        <x:v>1</x:v>
      </x:c>
      <x:c r="E47" s="19" t="str">
        <x:v>선택</x:v>
      </x:c>
      <x:c r="F47" s="19" t="str">
        <x:v>미정</x:v>
      </x:c>
      <x:c r="G47" s="25"/>
      <x:c r="H47" s="25"/>
      <x:c r="I47" s="19" t="str"/>
      <x:c r="J47" s="19" t="str">
        <x:v>기록 / 조리원 생활 / 조리원가방</x:v>
      </x:c>
      <x:c r="K47" s="19" t="str"/>
    </x:row>
    <x:row r="48" ht="24" customHeight="1">
      <x:c r="A48" s="18" t="n">
        <x:f>IF(C48="","",COUNTA($C$10:C48))</x:f>
        <x:v>39</x:v>
      </x:c>
      <x:c r="B48" s="20" t="str">
        <x:v>07 문서/결제</x:v>
      </x:c>
      <x:c r="C48" s="18" t="str">
        <x:v>산모수첩/병원서류</x:v>
      </x:c>
      <x:c r="D48" s="22" t="n">
        <x:v>1</x:v>
      </x:c>
      <x:c r="E48" s="18" t="str">
        <x:v>필수</x:v>
      </x:c>
      <x:c r="F48" s="18" t="str">
        <x:v>미정</x:v>
      </x:c>
      <x:c r="G48" s="24"/>
      <x:c r="H48" s="24"/>
      <x:c r="I48" s="18" t="str"/>
      <x:c r="J48" s="18" t="str">
        <x:v>서류 / 조리원 입소 전 / 조리원가방</x:v>
      </x:c>
      <x:c r="K48" s="18" t="str"/>
    </x:row>
    <x:row r="49" ht="24" customHeight="1">
      <x:c r="A49" s="19" t="n">
        <x:f>IF(C49="","",COUNTA($C$10:C49))</x:f>
        <x:v>40</x:v>
      </x:c>
      <x:c r="B49" s="21" t="str">
        <x:v>07 문서/결제</x:v>
      </x:c>
      <x:c r="C49" s="19" t="str">
        <x:v>카드/현금</x:v>
      </x:c>
      <x:c r="D49" s="23" t="n">
        <x:v>1</x:v>
      </x:c>
      <x:c r="E49" s="19" t="str">
        <x:v>필수</x:v>
      </x:c>
      <x:c r="F49" s="19" t="str">
        <x:v>미정</x:v>
      </x:c>
      <x:c r="G49" s="25"/>
      <x:c r="H49" s="25"/>
      <x:c r="I49" s="19" t="str"/>
      <x:c r="J49" s="19" t="str">
        <x:v>결제 / 조리원 입소 전 / 조리원가방</x:v>
      </x:c>
      <x:c r="K49" s="19" t="str"/>
    </x:row>
    <x:row r="50" ht="24" customHeight="1">
      <x:c r="A50" s="18" t="n">
        <x:f>IF(C50="","",COUNTA($C$10:C50))</x:f>
        <x:v>41</x:v>
      </x:c>
      <x:c r="B50" s="20" t="str">
        <x:v>07 문서/결제</x:v>
      </x:c>
      <x:c r="C50" s="18" t="str">
        <x:v>소아과/병원 연락처</x:v>
      </x:c>
      <x:c r="D50" s="22" t="n">
        <x:v>1</x:v>
      </x:c>
      <x:c r="E50" s="18" t="str">
        <x:v>추천</x:v>
      </x:c>
      <x:c r="F50" s="18" t="str">
        <x:v>미정</x:v>
      </x:c>
      <x:c r="G50" s="24"/>
      <x:c r="H50" s="24"/>
      <x:c r="I50" s="18" t="str"/>
      <x:c r="J50" s="18" t="str">
        <x:v>연락 / 조리원 생활 / 휴대폰 / 퇴소 후 진료 대비</x:v>
      </x:c>
      <x:c r="K50" s="18" t="str"/>
    </x:row>
    <x:row r="51" ht="24" customHeight="1">
      <x:c r="A51" s="19" t="str">
        <x:f>IF(C51="","",COUNTA($C$10:C51))</x:f>
      </x:c>
      <x:c r="B51" s="21"/>
      <x:c r="C51" s="19"/>
      <x:c r="D51" s="23"/>
      <x:c r="E51" s="19"/>
      <x:c r="F51" s="19"/>
      <x:c r="G51" s="25"/>
      <x:c r="H51" s="25"/>
      <x:c r="I51" s="19"/>
      <x:c r="J51" s="19"/>
      <x:c r="K51" s="19"/>
    </x:row>
    <x:row r="52" ht="24" customHeight="1">
      <x:c r="A52" s="18" t="str">
        <x:f>IF(C52="","",COUNTA($C$10:C52))</x:f>
      </x:c>
      <x:c r="B52" s="20"/>
      <x:c r="C52" s="18"/>
      <x:c r="D52" s="22"/>
      <x:c r="E52" s="18"/>
      <x:c r="F52" s="18"/>
      <x:c r="G52" s="24"/>
      <x:c r="H52" s="24"/>
      <x:c r="I52" s="18"/>
      <x:c r="J52" s="18"/>
      <x:c r="K52" s="18"/>
    </x:row>
    <x:row r="53" ht="24" customHeight="1">
      <x:c r="A53" s="19" t="str">
        <x:f>IF(C53="","",COUNTA($C$10:C53))</x:f>
      </x:c>
      <x:c r="B53" s="21"/>
      <x:c r="C53" s="19"/>
      <x:c r="D53" s="23"/>
      <x:c r="E53" s="19"/>
      <x:c r="F53" s="19"/>
      <x:c r="G53" s="25"/>
      <x:c r="H53" s="25"/>
      <x:c r="I53" s="19"/>
      <x:c r="J53" s="19"/>
      <x:c r="K53" s="19"/>
    </x:row>
    <x:row r="54" ht="24" customHeight="1">
      <x:c r="A54" s="18" t="str">
        <x:f>IF(C54="","",COUNTA($C$10:C54))</x:f>
      </x:c>
      <x:c r="B54" s="20"/>
      <x:c r="C54" s="18"/>
      <x:c r="D54" s="22"/>
      <x:c r="E54" s="18"/>
      <x:c r="F54" s="18"/>
      <x:c r="G54" s="24"/>
      <x:c r="H54" s="24"/>
      <x:c r="I54" s="18"/>
      <x:c r="J54" s="18"/>
      <x:c r="K54" s="18"/>
    </x:row>
    <x:row r="55" ht="24" customHeight="1">
      <x:c r="A55" s="19" t="str">
        <x:f>IF(C55="","",COUNTA($C$10:C55))</x:f>
      </x:c>
      <x:c r="B55" s="21"/>
      <x:c r="C55" s="19"/>
      <x:c r="D55" s="23"/>
      <x:c r="E55" s="19"/>
      <x:c r="F55" s="19"/>
      <x:c r="G55" s="25"/>
      <x:c r="H55" s="25"/>
      <x:c r="I55" s="19"/>
      <x:c r="J55" s="19"/>
      <x:c r="K55" s="19"/>
    </x:row>
    <x:row r="56" ht="24" customHeight="1">
      <x:c r="A56" s="18" t="str">
        <x:f>IF(C56="","",COUNTA($C$10:C56))</x:f>
      </x:c>
      <x:c r="B56" s="20"/>
      <x:c r="C56" s="18"/>
      <x:c r="D56" s="22"/>
      <x:c r="E56" s="18"/>
      <x:c r="F56" s="18"/>
      <x:c r="G56" s="24"/>
      <x:c r="H56" s="24"/>
      <x:c r="I56" s="18"/>
      <x:c r="J56" s="18"/>
      <x:c r="K56" s="18"/>
    </x:row>
    <x:row r="57" ht="24" customHeight="1">
      <x:c r="A57" s="19" t="str">
        <x:f>IF(C57="","",COUNTA($C$10:C57))</x:f>
      </x:c>
      <x:c r="B57" s="21"/>
      <x:c r="C57" s="19"/>
      <x:c r="D57" s="23"/>
      <x:c r="E57" s="19"/>
      <x:c r="F57" s="19"/>
      <x:c r="G57" s="25"/>
      <x:c r="H57" s="25"/>
      <x:c r="I57" s="19"/>
      <x:c r="J57" s="19"/>
      <x:c r="K57" s="19"/>
    </x:row>
    <x:row r="58" ht="24" customHeight="1">
      <x:c r="A58" s="18" t="str">
        <x:f>IF(C58="","",COUNTA($C$10:C58))</x:f>
      </x:c>
      <x:c r="B58" s="20"/>
      <x:c r="C58" s="18"/>
      <x:c r="D58" s="22"/>
      <x:c r="E58" s="18"/>
      <x:c r="F58" s="18"/>
      <x:c r="G58" s="24"/>
      <x:c r="H58" s="24"/>
      <x:c r="I58" s="18"/>
      <x:c r="J58" s="18"/>
      <x:c r="K58" s="18"/>
    </x:row>
    <x:row r="59" ht="24" customHeight="1">
      <x:c r="A59" s="19" t="str">
        <x:f>IF(C59="","",COUNTA($C$10:C59))</x:f>
      </x:c>
      <x:c r="B59" s="21"/>
      <x:c r="C59" s="19"/>
      <x:c r="D59" s="23"/>
      <x:c r="E59" s="19"/>
      <x:c r="F59" s="19"/>
      <x:c r="G59" s="25"/>
      <x:c r="H59" s="25"/>
      <x:c r="I59" s="19"/>
      <x:c r="J59" s="19"/>
      <x:c r="K59" s="19"/>
    </x:row>
    <x:row r="60" ht="24" customHeight="1">
      <x:c r="A60" s="18" t="str">
        <x:f>IF(C60="","",COUNTA($C$10:C60))</x:f>
      </x:c>
      <x:c r="B60" s="20"/>
      <x:c r="C60" s="18"/>
      <x:c r="D60" s="22"/>
      <x:c r="E60" s="18"/>
      <x:c r="F60" s="18"/>
      <x:c r="G60" s="24"/>
      <x:c r="H60" s="24"/>
      <x:c r="I60" s="18"/>
      <x:c r="J60" s="18"/>
      <x:c r="K60" s="18"/>
    </x:row>
    <x:row r="61" ht="24" customHeight="1">
      <x:c r="A61" s="19" t="str">
        <x:f>IF(C61="","",COUNTA($C$10:C61))</x:f>
      </x:c>
      <x:c r="B61" s="21"/>
      <x:c r="C61" s="19"/>
      <x:c r="D61" s="23"/>
      <x:c r="E61" s="19"/>
      <x:c r="F61" s="19"/>
      <x:c r="G61" s="25"/>
      <x:c r="H61" s="25"/>
      <x:c r="I61" s="19"/>
      <x:c r="J61" s="19"/>
      <x:c r="K61" s="19"/>
    </x:row>
    <x:row r="62" ht="24" customHeight="1">
      <x:c r="A62" s="18" t="str">
        <x:f>IF(C62="","",COUNTA($C$10:C62))</x:f>
      </x:c>
      <x:c r="B62" s="20"/>
      <x:c r="C62" s="18"/>
      <x:c r="D62" s="22"/>
      <x:c r="E62" s="18"/>
      <x:c r="F62" s="18"/>
      <x:c r="G62" s="24"/>
      <x:c r="H62" s="24"/>
      <x:c r="I62" s="18"/>
      <x:c r="J62" s="18"/>
      <x:c r="K62" s="18"/>
    </x:row>
    <x:row r="63" ht="24" customHeight="1">
      <x:c r="A63" s="19" t="str">
        <x:f>IF(C63="","",COUNTA($C$10:C63))</x:f>
      </x:c>
      <x:c r="B63" s="21"/>
      <x:c r="C63" s="19"/>
      <x:c r="D63" s="23"/>
      <x:c r="E63" s="19"/>
      <x:c r="F63" s="19"/>
      <x:c r="G63" s="25"/>
      <x:c r="H63" s="25"/>
      <x:c r="I63" s="19"/>
      <x:c r="J63" s="19"/>
      <x:c r="K63" s="19"/>
    </x:row>
    <x:row r="64" ht="24" customHeight="1">
      <x:c r="A64" s="18" t="str">
        <x:f>IF(C64="","",COUNTA($C$10:C64))</x:f>
      </x:c>
      <x:c r="B64" s="20"/>
      <x:c r="C64" s="18"/>
      <x:c r="D64" s="22"/>
      <x:c r="E64" s="18"/>
      <x:c r="F64" s="18"/>
      <x:c r="G64" s="24"/>
      <x:c r="H64" s="24"/>
      <x:c r="I64" s="18"/>
      <x:c r="J64" s="18"/>
      <x:c r="K64" s="18"/>
    </x:row>
    <x:row r="65" ht="24" customHeight="1">
      <x:c r="A65" s="19" t="str">
        <x:f>IF(C65="","",COUNTA($C$10:C65))</x:f>
      </x:c>
      <x:c r="B65" s="21"/>
      <x:c r="C65" s="19"/>
      <x:c r="D65" s="23"/>
      <x:c r="E65" s="19"/>
      <x:c r="F65" s="19"/>
      <x:c r="G65" s="25"/>
      <x:c r="H65" s="25"/>
      <x:c r="I65" s="19"/>
      <x:c r="J65" s="19"/>
      <x:c r="K65" s="19"/>
    </x:row>
    <x:row r="66" ht="24" customHeight="1">
      <x:c r="A66" s="18" t="str">
        <x:f>IF(C66="","",COUNTA($C$10:C66))</x:f>
      </x:c>
      <x:c r="B66" s="20"/>
      <x:c r="C66" s="18"/>
      <x:c r="D66" s="22"/>
      <x:c r="E66" s="18"/>
      <x:c r="F66" s="18"/>
      <x:c r="G66" s="24"/>
      <x:c r="H66" s="24"/>
      <x:c r="I66" s="18"/>
      <x:c r="J66" s="18"/>
      <x:c r="K66" s="18"/>
    </x:row>
    <x:row r="67" ht="24" customHeight="1">
      <x:c r="A67" s="19" t="str">
        <x:f>IF(C67="","",COUNTA($C$10:C67))</x:f>
      </x:c>
      <x:c r="B67" s="21"/>
      <x:c r="C67" s="19"/>
      <x:c r="D67" s="23"/>
      <x:c r="E67" s="19"/>
      <x:c r="F67" s="19"/>
      <x:c r="G67" s="25"/>
      <x:c r="H67" s="25"/>
      <x:c r="I67" s="19"/>
      <x:c r="J67" s="19"/>
      <x:c r="K67" s="19"/>
    </x:row>
    <x:row r="68" ht="24" customHeight="1">
      <x:c r="A68" s="18" t="str">
        <x:f>IF(C68="","",COUNTA($C$10:C68))</x:f>
      </x:c>
      <x:c r="B68" s="20"/>
      <x:c r="C68" s="18"/>
      <x:c r="D68" s="22"/>
      <x:c r="E68" s="18"/>
      <x:c r="F68" s="18"/>
      <x:c r="G68" s="24"/>
      <x:c r="H68" s="24"/>
      <x:c r="I68" s="18"/>
      <x:c r="J68" s="18"/>
      <x:c r="K68" s="18"/>
    </x:row>
    <x:row r="69" ht="24" customHeight="1">
      <x:c r="A69" s="19" t="str">
        <x:f>IF(C69="","",COUNTA($C$10:C69))</x:f>
      </x:c>
      <x:c r="B69" s="21"/>
      <x:c r="C69" s="19"/>
      <x:c r="D69" s="23"/>
      <x:c r="E69" s="19"/>
      <x:c r="F69" s="19"/>
      <x:c r="G69" s="25"/>
      <x:c r="H69" s="25"/>
      <x:c r="I69" s="19"/>
      <x:c r="J69" s="19"/>
      <x:c r="K69" s="19"/>
    </x:row>
    <x:row r="70" ht="24" customHeight="1">
      <x:c r="A70" s="18" t="str">
        <x:f>IF(C70="","",COUNTA($C$10:C70))</x:f>
      </x:c>
      <x:c r="B70" s="20"/>
      <x:c r="C70" s="18"/>
      <x:c r="D70" s="22"/>
      <x:c r="E70" s="18"/>
      <x:c r="F70" s="18"/>
      <x:c r="G70" s="24"/>
      <x:c r="H70" s="24"/>
      <x:c r="I70" s="18"/>
      <x:c r="J70" s="18"/>
      <x:c r="K70" s="18"/>
    </x:row>
    <x:row r="71" ht="24" customHeight="1">
      <x:c r="A71" s="19" t="str">
        <x:f>IF(C71="","",COUNTA($C$10:C71))</x:f>
      </x:c>
      <x:c r="B71" s="21"/>
      <x:c r="C71" s="19"/>
      <x:c r="D71" s="23"/>
      <x:c r="E71" s="19"/>
      <x:c r="F71" s="19"/>
      <x:c r="G71" s="25"/>
      <x:c r="H71" s="25"/>
      <x:c r="I71" s="19"/>
      <x:c r="J71" s="19"/>
      <x:c r="K71" s="19"/>
    </x:row>
    <x:row r="72" ht="24" customHeight="1">
      <x:c r="A72" s="18" t="str">
        <x:f>IF(C72="","",COUNTA($C$10:C72))</x:f>
      </x:c>
      <x:c r="B72" s="20"/>
      <x:c r="C72" s="18"/>
      <x:c r="D72" s="22"/>
      <x:c r="E72" s="18"/>
      <x:c r="F72" s="18"/>
      <x:c r="G72" s="24"/>
      <x:c r="H72" s="24"/>
      <x:c r="I72" s="18"/>
      <x:c r="J72" s="18"/>
      <x:c r="K72" s="18"/>
    </x:row>
    <x:row r="73" ht="24" customHeight="1">
      <x:c r="A73" s="19" t="str">
        <x:f>IF(C73="","",COUNTA($C$10:C73))</x:f>
      </x:c>
      <x:c r="B73" s="21"/>
      <x:c r="C73" s="19"/>
      <x:c r="D73" s="23"/>
      <x:c r="E73" s="19"/>
      <x:c r="F73" s="19"/>
      <x:c r="G73" s="25"/>
      <x:c r="H73" s="25"/>
      <x:c r="I73" s="19"/>
      <x:c r="J73" s="19"/>
      <x:c r="K73" s="19"/>
    </x:row>
    <x:row r="74" ht="24" customHeight="1">
      <x:c r="A74" s="18" t="str">
        <x:f>IF(C74="","",COUNTA($C$10:C74))</x:f>
      </x:c>
      <x:c r="B74" s="20"/>
      <x:c r="C74" s="18"/>
      <x:c r="D74" s="22"/>
      <x:c r="E74" s="18"/>
      <x:c r="F74" s="18"/>
      <x:c r="G74" s="24"/>
      <x:c r="H74" s="24"/>
      <x:c r="I74" s="18"/>
      <x:c r="J74" s="18"/>
      <x:c r="K74" s="18"/>
    </x:row>
    <x:row r="75" ht="24" customHeight="1">
      <x:c r="A75" s="19" t="str">
        <x:f>IF(C75="","",COUNTA($C$10:C75))</x:f>
      </x:c>
      <x:c r="B75" s="21"/>
      <x:c r="C75" s="19"/>
      <x:c r="D75" s="23"/>
      <x:c r="E75" s="19"/>
      <x:c r="F75" s="19"/>
      <x:c r="G75" s="25"/>
      <x:c r="H75" s="25"/>
      <x:c r="I75" s="19"/>
      <x:c r="J75" s="19"/>
      <x:c r="K75" s="19"/>
    </x:row>
    <x:row r="76" ht="24" customHeight="1">
      <x:c r="A76" s="18" t="str">
        <x:f>IF(C76="","",COUNTA($C$10:C76))</x:f>
      </x:c>
      <x:c r="B76" s="20"/>
      <x:c r="C76" s="18"/>
      <x:c r="D76" s="22"/>
      <x:c r="E76" s="18"/>
      <x:c r="F76" s="18"/>
      <x:c r="G76" s="24"/>
      <x:c r="H76" s="24"/>
      <x:c r="I76" s="18"/>
      <x:c r="J76" s="18"/>
      <x:c r="K76" s="18"/>
    </x:row>
    <x:row r="77" ht="24" customHeight="1">
      <x:c r="A77" s="19" t="str">
        <x:f>IF(C77="","",COUNTA($C$10:C77))</x:f>
      </x:c>
      <x:c r="B77" s="21"/>
      <x:c r="C77" s="19"/>
      <x:c r="D77" s="23"/>
      <x:c r="E77" s="19"/>
      <x:c r="F77" s="19"/>
      <x:c r="G77" s="25"/>
      <x:c r="H77" s="25"/>
      <x:c r="I77" s="19"/>
      <x:c r="J77" s="19"/>
      <x:c r="K77" s="19"/>
    </x:row>
    <x:row r="78" ht="24" customHeight="1">
      <x:c r="A78" s="18" t="str">
        <x:f>IF(C78="","",COUNTA($C$10:C78))</x:f>
      </x:c>
      <x:c r="B78" s="20"/>
      <x:c r="C78" s="18"/>
      <x:c r="D78" s="22"/>
      <x:c r="E78" s="18"/>
      <x:c r="F78" s="18"/>
      <x:c r="G78" s="24"/>
      <x:c r="H78" s="24"/>
      <x:c r="I78" s="18"/>
      <x:c r="J78" s="18"/>
      <x:c r="K78" s="18"/>
    </x:row>
    <x:row r="79" ht="24" customHeight="1">
      <x:c r="A79" s="19" t="str">
        <x:f>IF(C79="","",COUNTA($C$10:C79))</x:f>
      </x:c>
      <x:c r="B79" s="21"/>
      <x:c r="C79" s="19"/>
      <x:c r="D79" s="23"/>
      <x:c r="E79" s="19"/>
      <x:c r="F79" s="19"/>
      <x:c r="G79" s="25"/>
      <x:c r="H79" s="25"/>
      <x:c r="I79" s="19"/>
      <x:c r="J79" s="19"/>
      <x:c r="K79" s="19"/>
    </x:row>
    <x:row r="80" ht="24" customHeight="1">
      <x:c r="A80" s="18" t="str">
        <x:f>IF(C80="","",COUNTA($C$10:C80))</x:f>
      </x:c>
      <x:c r="B80" s="20"/>
      <x:c r="C80" s="18"/>
      <x:c r="D80" s="22"/>
      <x:c r="E80" s="18"/>
      <x:c r="F80" s="18"/>
      <x:c r="G80" s="24"/>
      <x:c r="H80" s="24"/>
      <x:c r="I80" s="18"/>
      <x:c r="J80" s="18"/>
      <x:c r="K80" s="18"/>
    </x:row>
    <x:row r="81" ht="24" customHeight="1">
      <x:c r="A81" s="19" t="str">
        <x:f>IF(C81="","",COUNTA($C$10:C81))</x:f>
      </x:c>
      <x:c r="B81" s="21"/>
      <x:c r="C81" s="19"/>
      <x:c r="D81" s="23"/>
      <x:c r="E81" s="19"/>
      <x:c r="F81" s="19"/>
      <x:c r="G81" s="25"/>
      <x:c r="H81" s="25"/>
      <x:c r="I81" s="19"/>
      <x:c r="J81" s="19"/>
      <x:c r="K81" s="19"/>
    </x:row>
    <x:row r="82" ht="24" customHeight="1">
      <x:c r="A82" s="18" t="str">
        <x:f>IF(C82="","",COUNTA($C$10:C82))</x:f>
      </x:c>
      <x:c r="B82" s="20"/>
      <x:c r="C82" s="18"/>
      <x:c r="D82" s="22"/>
      <x:c r="E82" s="18"/>
      <x:c r="F82" s="18"/>
      <x:c r="G82" s="24"/>
      <x:c r="H82" s="24"/>
      <x:c r="I82" s="18"/>
      <x:c r="J82" s="18"/>
      <x:c r="K82" s="18"/>
    </x:row>
    <x:row r="83" ht="24" customHeight="1">
      <x:c r="A83" s="19" t="str">
        <x:f>IF(C83="","",COUNTA($C$10:C83))</x:f>
      </x:c>
      <x:c r="B83" s="21"/>
      <x:c r="C83" s="19"/>
      <x:c r="D83" s="23"/>
      <x:c r="E83" s="19"/>
      <x:c r="F83" s="19"/>
      <x:c r="G83" s="25"/>
      <x:c r="H83" s="25"/>
      <x:c r="I83" s="19"/>
      <x:c r="J83" s="19"/>
      <x:c r="K83" s="19"/>
    </x:row>
    <x:row r="84" ht="24" customHeight="1">
      <x:c r="A84" s="18" t="str">
        <x:f>IF(C84="","",COUNTA($C$10:C84))</x:f>
      </x:c>
      <x:c r="B84" s="20"/>
      <x:c r="C84" s="18"/>
      <x:c r="D84" s="22"/>
      <x:c r="E84" s="18"/>
      <x:c r="F84" s="18"/>
      <x:c r="G84" s="24"/>
      <x:c r="H84" s="24"/>
      <x:c r="I84" s="18"/>
      <x:c r="J84" s="18"/>
      <x:c r="K84" s="18"/>
    </x:row>
    <x:row r="85" ht="24" customHeight="1">
      <x:c r="A85" s="19" t="str">
        <x:f>IF(C85="","",COUNTA($C$10:C85))</x:f>
      </x:c>
      <x:c r="B85" s="21"/>
      <x:c r="C85" s="19"/>
      <x:c r="D85" s="23"/>
      <x:c r="E85" s="19"/>
      <x:c r="F85" s="19"/>
      <x:c r="G85" s="25"/>
      <x:c r="H85" s="25"/>
      <x:c r="I85" s="19"/>
      <x:c r="J85" s="19"/>
      <x:c r="K85" s="19"/>
    </x:row>
    <x:row r="86" ht="24" customHeight="1">
      <x:c r="A86" s="18" t="str">
        <x:f>IF(C86="","",COUNTA($C$10:C86))</x:f>
      </x:c>
      <x:c r="B86" s="20"/>
      <x:c r="C86" s="18"/>
      <x:c r="D86" s="22"/>
      <x:c r="E86" s="18"/>
      <x:c r="F86" s="18"/>
      <x:c r="G86" s="24"/>
      <x:c r="H86" s="24"/>
      <x:c r="I86" s="18"/>
      <x:c r="J86" s="18"/>
      <x:c r="K86" s="18"/>
    </x:row>
    <x:row r="87" ht="24" customHeight="1">
      <x:c r="A87" s="19" t="str">
        <x:f>IF(C87="","",COUNTA($C$10:C87))</x:f>
      </x:c>
      <x:c r="B87" s="21"/>
      <x:c r="C87" s="19"/>
      <x:c r="D87" s="23"/>
      <x:c r="E87" s="19"/>
      <x:c r="F87" s="19"/>
      <x:c r="G87" s="25"/>
      <x:c r="H87" s="25"/>
      <x:c r="I87" s="19"/>
      <x:c r="J87" s="19"/>
      <x:c r="K87" s="19"/>
    </x:row>
    <x:row r="88" ht="24" customHeight="1">
      <x:c r="A88" s="18" t="str">
        <x:f>IF(C88="","",COUNTA($C$10:C88))</x:f>
      </x:c>
      <x:c r="B88" s="20"/>
      <x:c r="C88" s="18"/>
      <x:c r="D88" s="22"/>
      <x:c r="E88" s="18"/>
      <x:c r="F88" s="18"/>
      <x:c r="G88" s="24"/>
      <x:c r="H88" s="24"/>
      <x:c r="I88" s="18"/>
      <x:c r="J88" s="18"/>
      <x:c r="K88" s="18"/>
    </x:row>
    <x:row r="89" ht="24" customHeight="1">
      <x:c r="A89" s="19" t="str">
        <x:f>IF(C89="","",COUNTA($C$10:C89))</x:f>
      </x:c>
      <x:c r="B89" s="21"/>
      <x:c r="C89" s="19"/>
      <x:c r="D89" s="23"/>
      <x:c r="E89" s="19"/>
      <x:c r="F89" s="19"/>
      <x:c r="G89" s="25"/>
      <x:c r="H89" s="25"/>
      <x:c r="I89" s="19"/>
      <x:c r="J89" s="19"/>
      <x:c r="K89" s="19"/>
    </x:row>
    <x:row r="90" ht="24" customHeight="1">
      <x:c r="A90" s="18" t="str">
        <x:f>IF(C90="","",COUNTA($C$10:C90))</x:f>
      </x:c>
      <x:c r="B90" s="20"/>
      <x:c r="C90" s="18"/>
      <x:c r="D90" s="22"/>
      <x:c r="E90" s="18"/>
      <x:c r="F90" s="18"/>
      <x:c r="G90" s="24"/>
      <x:c r="H90" s="24"/>
      <x:c r="I90" s="18"/>
      <x:c r="J90" s="18"/>
      <x:c r="K90" s="18"/>
    </x:row>
    <x:row r="91" ht="24" customHeight="1">
      <x:c r="A91" s="19" t="str">
        <x:f>IF(C91="","",COUNTA($C$10:C91))</x:f>
      </x:c>
      <x:c r="B91" s="21"/>
      <x:c r="C91" s="19"/>
      <x:c r="D91" s="23"/>
      <x:c r="E91" s="19"/>
      <x:c r="F91" s="19"/>
      <x:c r="G91" s="25"/>
      <x:c r="H91" s="25"/>
      <x:c r="I91" s="19"/>
      <x:c r="J91" s="19"/>
      <x:c r="K91" s="19"/>
    </x:row>
    <x:row r="92" ht="24" customHeight="1">
      <x:c r="A92" s="18" t="str">
        <x:f>IF(C92="","",COUNTA($C$10:C92))</x:f>
      </x:c>
      <x:c r="B92" s="20"/>
      <x:c r="C92" s="18"/>
      <x:c r="D92" s="22"/>
      <x:c r="E92" s="18"/>
      <x:c r="F92" s="18"/>
      <x:c r="G92" s="24"/>
      <x:c r="H92" s="24"/>
      <x:c r="I92" s="18"/>
      <x:c r="J92" s="18"/>
      <x:c r="K92" s="18"/>
    </x:row>
    <x:row r="93" ht="24" customHeight="1">
      <x:c r="A93" s="19" t="str">
        <x:f>IF(C93="","",COUNTA($C$10:C93))</x:f>
      </x:c>
      <x:c r="B93" s="21"/>
      <x:c r="C93" s="19"/>
      <x:c r="D93" s="23"/>
      <x:c r="E93" s="19"/>
      <x:c r="F93" s="19"/>
      <x:c r="G93" s="25"/>
      <x:c r="H93" s="25"/>
      <x:c r="I93" s="19"/>
      <x:c r="J93" s="19"/>
      <x:c r="K93" s="19"/>
    </x:row>
    <x:row r="94" ht="24" customHeight="1">
      <x:c r="A94" s="18" t="str">
        <x:f>IF(C94="","",COUNTA($C$10:C94))</x:f>
      </x:c>
      <x:c r="B94" s="20"/>
      <x:c r="C94" s="18"/>
      <x:c r="D94" s="22"/>
      <x:c r="E94" s="18"/>
      <x:c r="F94" s="18"/>
      <x:c r="G94" s="24"/>
      <x:c r="H94" s="24"/>
      <x:c r="I94" s="18"/>
      <x:c r="J94" s="18"/>
      <x:c r="K94" s="18"/>
    </x:row>
    <x:row r="95" ht="24" customHeight="1">
      <x:c r="A95" s="19" t="str">
        <x:f>IF(C95="","",COUNTA($C$10:C95))</x:f>
      </x:c>
      <x:c r="B95" s="21"/>
      <x:c r="C95" s="19"/>
      <x:c r="D95" s="23"/>
      <x:c r="E95" s="19"/>
      <x:c r="F95" s="19"/>
      <x:c r="G95" s="25"/>
      <x:c r="H95" s="25"/>
      <x:c r="I95" s="19"/>
      <x:c r="J95" s="19"/>
      <x:c r="K95" s="19"/>
    </x:row>
    <x:row r="96" ht="24" customHeight="1">
      <x:c r="A96" s="18" t="str">
        <x:f>IF(C96="","",COUNTA($C$10:C96))</x:f>
      </x:c>
      <x:c r="B96" s="20"/>
      <x:c r="C96" s="18"/>
      <x:c r="D96" s="22"/>
      <x:c r="E96" s="18"/>
      <x:c r="F96" s="18"/>
      <x:c r="G96" s="24"/>
      <x:c r="H96" s="24"/>
      <x:c r="I96" s="18"/>
      <x:c r="J96" s="18"/>
      <x:c r="K96" s="18"/>
    </x:row>
    <x:row r="97" ht="24" customHeight="1">
      <x:c r="A97" s="19" t="str">
        <x:f>IF(C97="","",COUNTA($C$10:C97))</x:f>
      </x:c>
      <x:c r="B97" s="21"/>
      <x:c r="C97" s="19"/>
      <x:c r="D97" s="23"/>
      <x:c r="E97" s="19"/>
      <x:c r="F97" s="19"/>
      <x:c r="G97" s="25"/>
      <x:c r="H97" s="25"/>
      <x:c r="I97" s="19"/>
      <x:c r="J97" s="19"/>
      <x:c r="K97" s="19"/>
    </x:row>
    <x:row r="98" ht="24" customHeight="1">
      <x:c r="A98" s="18" t="str">
        <x:f>IF(C98="","",COUNTA($C$10:C98))</x:f>
      </x:c>
      <x:c r="B98" s="20"/>
      <x:c r="C98" s="18"/>
      <x:c r="D98" s="22"/>
      <x:c r="E98" s="18"/>
      <x:c r="F98" s="18"/>
      <x:c r="G98" s="24"/>
      <x:c r="H98" s="24"/>
      <x:c r="I98" s="18"/>
      <x:c r="J98" s="18"/>
      <x:c r="K98" s="18"/>
    </x:row>
    <x:row r="99" ht="24" customHeight="1">
      <x:c r="A99" s="19" t="str">
        <x:f>IF(C99="","",COUNTA($C$10:C99))</x:f>
      </x:c>
      <x:c r="B99" s="21"/>
      <x:c r="C99" s="19"/>
      <x:c r="D99" s="23"/>
      <x:c r="E99" s="19"/>
      <x:c r="F99" s="19"/>
      <x:c r="G99" s="25"/>
      <x:c r="H99" s="25"/>
      <x:c r="I99" s="19"/>
      <x:c r="J99" s="19"/>
      <x:c r="K99" s="19"/>
    </x:row>
    <x:row r="100" ht="24" customHeight="1">
      <x:c r="A100" s="18" t="str">
        <x:f>IF(C100="","",COUNTA($C$10:C100))</x:f>
      </x:c>
      <x:c r="B100" s="20"/>
      <x:c r="C100" s="18"/>
      <x:c r="D100" s="22"/>
      <x:c r="E100" s="18"/>
      <x:c r="F100" s="18"/>
      <x:c r="G100" s="24"/>
      <x:c r="H100" s="24"/>
      <x:c r="I100" s="18"/>
      <x:c r="J100" s="18"/>
      <x:c r="K100" s="18"/>
    </x:row>
    <x:row r="101" ht="24" customHeight="1">
      <x:c r="A101" s="19" t="str">
        <x:f>IF(C101="","",COUNTA($C$10:C101))</x:f>
      </x:c>
      <x:c r="B101" s="21"/>
      <x:c r="C101" s="19"/>
      <x:c r="D101" s="23"/>
      <x:c r="E101" s="19"/>
      <x:c r="F101" s="19"/>
      <x:c r="G101" s="25"/>
      <x:c r="H101" s="25"/>
      <x:c r="I101" s="19"/>
      <x:c r="J101" s="19"/>
      <x:c r="K101" s="19"/>
    </x:row>
    <x:row r="102" ht="24" customHeight="1">
      <x:c r="A102" s="18" t="str">
        <x:f>IF(C102="","",COUNTA($C$10:C102))</x:f>
      </x:c>
      <x:c r="B102" s="20"/>
      <x:c r="C102" s="18"/>
      <x:c r="D102" s="22"/>
      <x:c r="E102" s="18"/>
      <x:c r="F102" s="18"/>
      <x:c r="G102" s="24"/>
      <x:c r="H102" s="24"/>
      <x:c r="I102" s="18"/>
      <x:c r="J102" s="18"/>
      <x:c r="K102" s="18"/>
    </x:row>
    <x:row r="103" ht="24" customHeight="1">
      <x:c r="A103" s="19" t="str">
        <x:f>IF(C103="","",COUNTA($C$10:C103))</x:f>
      </x:c>
      <x:c r="B103" s="21"/>
      <x:c r="C103" s="19"/>
      <x:c r="D103" s="23"/>
      <x:c r="E103" s="19"/>
      <x:c r="F103" s="19"/>
      <x:c r="G103" s="25"/>
      <x:c r="H103" s="25"/>
      <x:c r="I103" s="19"/>
      <x:c r="J103" s="19"/>
      <x:c r="K103" s="19"/>
    </x:row>
    <x:row r="104" ht="24" customHeight="1">
      <x:c r="A104" s="18" t="str">
        <x:f>IF(C104="","",COUNTA($C$10:C104))</x:f>
      </x:c>
      <x:c r="B104" s="20"/>
      <x:c r="C104" s="18"/>
      <x:c r="D104" s="22"/>
      <x:c r="E104" s="18"/>
      <x:c r="F104" s="18"/>
      <x:c r="G104" s="24"/>
      <x:c r="H104" s="24"/>
      <x:c r="I104" s="18"/>
      <x:c r="J104" s="18"/>
      <x:c r="K104" s="18"/>
    </x:row>
    <x:row r="105" ht="24" customHeight="1">
      <x:c r="A105" s="19" t="str">
        <x:f>IF(C105="","",COUNTA($C$10:C105))</x:f>
      </x:c>
      <x:c r="B105" s="21"/>
      <x:c r="C105" s="19"/>
      <x:c r="D105" s="23"/>
      <x:c r="E105" s="19"/>
      <x:c r="F105" s="19"/>
      <x:c r="G105" s="25"/>
      <x:c r="H105" s="25"/>
      <x:c r="I105" s="19"/>
      <x:c r="J105" s="19"/>
      <x:c r="K105" s="19"/>
    </x:row>
    <x:row r="106" ht="24" customHeight="1">
      <x:c r="A106" s="18" t="str">
        <x:f>IF(C106="","",COUNTA($C$10:C106))</x:f>
      </x:c>
      <x:c r="B106" s="20"/>
      <x:c r="C106" s="18"/>
      <x:c r="D106" s="22"/>
      <x:c r="E106" s="18"/>
      <x:c r="F106" s="18"/>
      <x:c r="G106" s="24"/>
      <x:c r="H106" s="24"/>
      <x:c r="I106" s="18"/>
      <x:c r="J106" s="18"/>
      <x:c r="K106" s="18"/>
    </x:row>
    <x:row r="107" ht="24" customHeight="1">
      <x:c r="A107" s="19" t="str">
        <x:f>IF(C107="","",COUNTA($C$10:C107))</x:f>
      </x:c>
      <x:c r="B107" s="21"/>
      <x:c r="C107" s="19"/>
      <x:c r="D107" s="23"/>
      <x:c r="E107" s="19"/>
      <x:c r="F107" s="19"/>
      <x:c r="G107" s="25"/>
      <x:c r="H107" s="25"/>
      <x:c r="I107" s="19"/>
      <x:c r="J107" s="19"/>
      <x:c r="K107" s="19"/>
    </x:row>
    <x:row r="108" ht="24" customHeight="1">
      <x:c r="A108" s="18" t="str">
        <x:f>IF(C108="","",COUNTA($C$10:C108))</x:f>
      </x:c>
      <x:c r="B108" s="20"/>
      <x:c r="C108" s="18"/>
      <x:c r="D108" s="22"/>
      <x:c r="E108" s="18"/>
      <x:c r="F108" s="18"/>
      <x:c r="G108" s="24"/>
      <x:c r="H108" s="24"/>
      <x:c r="I108" s="18"/>
      <x:c r="J108" s="18"/>
      <x:c r="K108" s="18"/>
    </x:row>
    <x:row r="109" ht="24" customHeight="1">
      <x:c r="A109" s="19" t="str">
        <x:f>IF(C109="","",COUNTA($C$10:C109))</x:f>
      </x:c>
      <x:c r="B109" s="21"/>
      <x:c r="C109" s="19"/>
      <x:c r="D109" s="23"/>
      <x:c r="E109" s="19"/>
      <x:c r="F109" s="19"/>
      <x:c r="G109" s="25"/>
      <x:c r="H109" s="25"/>
      <x:c r="I109" s="19"/>
      <x:c r="J109" s="19"/>
      <x:c r="K109" s="19"/>
    </x:row>
    <x:row r="110" ht="24" customHeight="1">
      <x:c r="A110" s="18" t="str">
        <x:f>IF(C110="","",COUNTA($C$10:C110))</x:f>
      </x:c>
      <x:c r="B110" s="20"/>
      <x:c r="C110" s="18"/>
      <x:c r="D110" s="22"/>
      <x:c r="E110" s="18"/>
      <x:c r="F110" s="18"/>
      <x:c r="G110" s="24"/>
      <x:c r="H110" s="24"/>
      <x:c r="I110" s="18"/>
      <x:c r="J110" s="18"/>
      <x:c r="K110" s="18"/>
    </x:row>
  </x:sheetData>
  <x:mergeCells>
    <x:mergeCell ref="A1:K1"/>
    <x:mergeCell ref="A2:K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A7:K7"/>
  </x:mergeCells>
  <x:conditionalFormatting sqref="E10:E110">
    <x:cfRule type="containsText" dxfId="8" priority="1" operator="containsText" text="필수"/>
    <x:cfRule type="containsText" dxfId="9" priority="2" operator="containsText" text="추천"/>
    <x:cfRule type="containsText" dxfId="10" priority="3" operator="containsText" text="선택"/>
  </x:conditionalFormatting>
  <x:conditionalFormatting sqref="F10:F110">
    <x:cfRule type="containsText" dxfId="11" priority="4" operator="containsText" text="구매완료"/>
    <x:cfRule type="containsText" dxfId="12" priority="5" operator="containsText" text="구매예정"/>
    <x:cfRule type="containsText" dxfId="13" priority="6" operator="containsText" text="대여/물려받기"/>
    <x:cfRule type="containsText" dxfId="14" priority="7" operator="containsText" text="선물예정"/>
    <x:cfRule type="containsText" dxfId="15" priority="8" operator="containsText" text="불필요"/>
  </x:conditionalFormatting>
  <x:dataValidations count="3">
    <x:dataValidation type="list" sqref="B10:B110">
      <x:formula1>"01 엄마 의류,02 엄마 위생,03 수유,04 생활/정리,05 아기 용품,06 전자/편의,07 문서/결제"</x:formula1>
    </x:dataValidation>
    <x:dataValidation type="list" sqref="E10:E110">
      <x:formula1>"필수,추천,선택,계절/상황별"</x:formula1>
    </x:dataValidation>
    <x:dataValidation type="list" sqref="F10:F110">
      <x:formula1>"미정,구매예정,구매완료,대여/물려받기,선물예정,보류,불필요"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23a70295d348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4.109999656677246" hidden="0" customWidth="1"/>
    <x:col min="3" max="3" width="21.469999313354492" hidden="0" customWidth="1"/>
    <x:col min="4" max="4" width="22.700000762939453" hidden="0" customWidth="1"/>
    <x:col min="5" max="5" width="7.239999771118164" hidden="0" customWidth="1"/>
    <x:col min="6" max="6" width="9.9399995803833" hidden="0" customWidth="1"/>
    <x:col min="7" max="7" width="13.130000114440918" hidden="0" customWidth="1"/>
    <x:col min="8" max="8" width="13.130000114440918" hidden="0" customWidth="1"/>
    <x:col min="9" max="9" width="11.899999618530273" hidden="0" customWidth="1"/>
    <x:col min="10" max="10" width="12.640000343322754" hidden="0" customWidth="1"/>
    <x:col min="11" max="11" width="20.25" hidden="0" customWidth="1"/>
    <x:col min="12" max="12" width="30.059999465942383" hidden="0" customWidth="1"/>
    <x:col min="13" max="13" width="22.700000762939453" hidden="0" customWidth="1"/>
  </x:cols>
  <x:sheetData>
    <x:row r="1" ht="27" customHeight="1">
      <x:c r="A1" s="2" t="str">
        <x:v>처음 육아 용품 준비표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19.5" customHeight="1">
      <x:c r="A2" s="4" t="str">
        <x:v>의류부터 책/미디어까지 카테고리별로 정리한 첫 육아 살림 목록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 ht="20.25" customHeight="1">
      <x:c r="A4" s="6" t="str">
        <x:v>전체 항목</x:v>
      </x:c>
      <x:c r="B4" s="6"/>
      <x:c r="C4" s="6" t="str">
        <x:v>구매 완료</x:v>
      </x:c>
      <x:c r="D4" s="6"/>
      <x:c r="E4" s="6" t="str">
        <x:v>진행 대상</x:v>
      </x:c>
      <x:c r="F4" s="6"/>
      <x:c r="G4" s="6" t="str">
        <x:v>예상 예산</x:v>
      </x:c>
      <x:c r="H4" s="6"/>
      <x:c r="I4" s="6" t="str">
        <x:v>실구매 합계</x:v>
      </x:c>
      <x:c r="J4" s="6"/>
      <x:c r="K4" s="6" t="str">
        <x:v>준비 완료율</x:v>
      </x:c>
      <x:c r="L4" s="6"/>
      <x:c r="M4" s="6"/>
    </x:row>
    <x:row r="5" ht="20.25" customHeight="1">
      <x:c r="A5" s="9" t="n">
        <x:f>COUNTA(C10:C152)</x:f>
        <x:v>83</x:v>
      </x:c>
      <x:c r="B5" s="9"/>
      <x:c r="C5" s="9" t="n">
        <x:f>COUNTIF(H10:H152,"구매완료")+COUNTIF(H10:H152,"대여/물려받기")</x:f>
        <x:v>0</x:v>
      </x:c>
      <x:c r="D5" s="9"/>
      <x:c r="E5" s="9" t="n">
        <x:f>COUNTIF(H10:H152,"구매예정")+COUNTIF(H10:H152,"구매완료")+COUNTIF(H10:H152,"대여/물려받기")+COUNTIF(H10:H152,"선물예정")</x:f>
        <x:v>0</x:v>
      </x:c>
      <x:c r="F5" s="9"/>
      <x:c r="G5" s="10" t="n">
        <x:f>SUMPRODUCT(E10:E152,I10:I152)</x:f>
        <x:v>0</x:v>
      </x:c>
      <x:c r="H5" s="10"/>
      <x:c r="I5" s="10" t="n">
        <x:f>SUMPRODUCT(E10:E152,J10:J152)</x:f>
        <x:v>0</x:v>
      </x:c>
      <x:c r="J5" s="10"/>
      <x:c r="K5" s="11" t="n">
        <x:f>IF((COUNTIF(H10:H152,"구매예정")+COUNTIF(H10:H152,"구매완료")+COUNTIF(H10:H152,"대여/물려받기")+COUNTIF(H10:H152,"선물예정"))=0,0,(COUNTIF(H10:H152,"구매완료")+COUNTIF(H10:H152,"대여/물려받기"))/(COUNTIF(H10:H152,"구매예정")+COUNTIF(H10:H152,"구매완료")+COUNTIF(H10:H152,"대여/물려받기")+COUNTIF(H10:H152,"선물예정")))</x:f>
        <x:v>0</x:v>
      </x:c>
      <x:c r="L5" s="11"/>
      <x:c r="M5" s="11"/>
    </x:row>
    <x:row r="7" ht="24" customHeight="1">
      <x:c r="A7" s="13" t="str">
        <x:v>팁: 가격은 1개/1세트 기준 단가로 입력하세요. 맨 아래 빈 행 60개에도 같은 형식이 적용되어 Google Sheets에서 바로 이어 쓸 수 있습니다.</x:v>
      </x:c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</x:row>
    <x:row r="9" ht="21" customHeight="1">
      <x:c r="A9" s="15" t="str">
        <x:v>No</x:v>
      </x:c>
      <x:c r="B9" s="15" t="str">
        <x:v>분류</x:v>
      </x:c>
      <x:c r="C9" s="15" t="str">
        <x:v>항목</x:v>
      </x:c>
      <x:c r="D9" s="15" t="str">
        <x:v>제품명</x:v>
      </x:c>
      <x:c r="E9" s="15" t="str">
        <x:v>수량</x:v>
      </x:c>
      <x:c r="F9" s="15" t="str">
        <x:v>중요도</x:v>
      </x:c>
      <x:c r="G9" s="15" t="str">
        <x:v>사용 시기</x:v>
      </x:c>
      <x:c r="H9" s="15" t="str">
        <x:v>구매 상태</x:v>
      </x:c>
      <x:c r="I9" s="15" t="str">
        <x:v>예상 가격</x:v>
      </x:c>
      <x:c r="J9" s="15" t="str">
        <x:v>실 구매 가격</x:v>
      </x:c>
      <x:c r="K9" s="15" t="str">
        <x:v>링크</x:v>
      </x:c>
      <x:c r="L9" s="15" t="str">
        <x:v>메모</x:v>
      </x:c>
      <x:c r="M9" s="15" t="str">
        <x:v>후보 아이템</x:v>
      </x:c>
    </x:row>
    <x:row r="10" ht="24" customHeight="1">
      <x:c r="A10" s="18" t="n">
        <x:f>IF(C10="","",COUNTA($C$10:C10))</x:f>
        <x:v>1</x:v>
      </x:c>
      <x:c r="B10" s="20" t="str">
        <x:v>01 의류</x:v>
      </x:c>
      <x:c r="C10" s="18" t="str">
        <x:v>배냇저고리/신생아 바디슈트</x:v>
      </x:c>
      <x:c r="D10" s="18" t="str"/>
      <x:c r="E10" s="22" t="n">
        <x:v>5</x:v>
      </x:c>
      <x:c r="F10" s="18" t="str">
        <x:v>필수</x:v>
      </x:c>
      <x:c r="G10" s="18" t="str">
        <x:v>출산 전</x:v>
      </x:c>
      <x:c r="H10" s="18" t="str">
        <x:v>미정</x:v>
      </x:c>
      <x:c r="I10" s="24"/>
      <x:c r="J10" s="24"/>
      <x:c r="K10" s="18" t="str"/>
      <x:c r="L10" s="18" t="str">
        <x:v>기본 / 세탁필요 / 아기옷장 / 계절별 두께 확인</x:v>
      </x:c>
      <x:c r="M10" s="18" t="str"/>
    </x:row>
    <x:row r="11" ht="24" customHeight="1">
      <x:c r="A11" s="19" t="n">
        <x:f>IF(C11="","",COUNTA($C$10:C11))</x:f>
        <x:v>2</x:v>
      </x:c>
      <x:c r="B11" s="21" t="str">
        <x:v>01 의류</x:v>
      </x:c>
      <x:c r="C11" s="19" t="str">
        <x:v>내의/우주복</x:v>
      </x:c>
      <x:c r="D11" s="19" t="str"/>
      <x:c r="E11" s="23" t="n">
        <x:v>4</x:v>
      </x:c>
      <x:c r="F11" s="19" t="str">
        <x:v>필수</x:v>
      </x:c>
      <x:c r="G11" s="19" t="str">
        <x:v>생후 0-1개월</x:v>
      </x:c>
      <x:c r="H11" s="19" t="str">
        <x:v>미정</x:v>
      </x:c>
      <x:c r="I11" s="25"/>
      <x:c r="J11" s="25"/>
      <x:c r="K11" s="19" t="str"/>
      <x:c r="L11" s="19" t="str">
        <x:v>기본 / 세탁필요 / 아기옷장</x:v>
      </x:c>
      <x:c r="M11" s="19" t="str"/>
    </x:row>
    <x:row r="12" ht="24" customHeight="1">
      <x:c r="A12" s="18" t="n">
        <x:f>IF(C12="","",COUNTA($C$10:C12))</x:f>
        <x:v>3</x:v>
      </x:c>
      <x:c r="B12" s="20" t="str">
        <x:v>01 의류</x:v>
      </x:c>
      <x:c r="C12" s="18" t="str">
        <x:v>양말</x:v>
      </x:c>
      <x:c r="D12" s="18" t="str"/>
      <x:c r="E12" s="22" t="n">
        <x:v>3</x:v>
      </x:c>
      <x:c r="F12" s="18" t="str">
        <x:v>추천</x:v>
      </x:c>
      <x:c r="G12" s="18" t="str">
        <x:v>생후 0-1개월</x:v>
      </x:c>
      <x:c r="H12" s="18" t="str">
        <x:v>미정</x:v>
      </x:c>
      <x:c r="I12" s="24"/>
      <x:c r="J12" s="24"/>
      <x:c r="K12" s="18" t="str"/>
      <x:c r="L12" s="18" t="str">
        <x:v>기본 / 세탁필요 / 아기옷장</x:v>
      </x:c>
      <x:c r="M12" s="18" t="str"/>
    </x:row>
    <x:row r="13" ht="24" customHeight="1">
      <x:c r="A13" s="19" t="n">
        <x:f>IF(C13="","",COUNTA($C$10:C13))</x:f>
        <x:v>4</x:v>
      </x:c>
      <x:c r="B13" s="21" t="str">
        <x:v>01 의류</x:v>
      </x:c>
      <x:c r="C13" s="19" t="str">
        <x:v>손싸개</x:v>
      </x:c>
      <x:c r="D13" s="19" t="str"/>
      <x:c r="E13" s="23" t="n">
        <x:v>2</x:v>
      </x:c>
      <x:c r="F13" s="19" t="str">
        <x:v>추천</x:v>
      </x:c>
      <x:c r="G13" s="19" t="str">
        <x:v>출산 전</x:v>
      </x:c>
      <x:c r="H13" s="19" t="str">
        <x:v>미정</x:v>
      </x:c>
      <x:c r="I13" s="25"/>
      <x:c r="J13" s="25"/>
      <x:c r="K13" s="19" t="str"/>
      <x:c r="L13" s="19" t="str">
        <x:v>기본 / 세탁필요 / 아기옷장</x:v>
      </x:c>
      <x:c r="M13" s="19" t="str"/>
    </x:row>
    <x:row r="14" ht="24" customHeight="1">
      <x:c r="A14" s="18" t="n">
        <x:f>IF(C14="","",COUNTA($C$10:C14))</x:f>
        <x:v>5</x:v>
      </x:c>
      <x:c r="B14" s="20" t="str">
        <x:v>01 의류</x:v>
      </x:c>
      <x:c r="C14" s="18" t="str">
        <x:v>신생아 모자</x:v>
      </x:c>
      <x:c r="D14" s="18" t="str"/>
      <x:c r="E14" s="22" t="n">
        <x:v>1</x:v>
      </x:c>
      <x:c r="F14" s="18" t="str">
        <x:v>추천</x:v>
      </x:c>
      <x:c r="G14" s="18" t="str">
        <x:v>출산 전</x:v>
      </x:c>
      <x:c r="H14" s="18" t="str">
        <x:v>미정</x:v>
      </x:c>
      <x:c r="I14" s="24"/>
      <x:c r="J14" s="24"/>
      <x:c r="K14" s="18" t="str"/>
      <x:c r="L14" s="18" t="str">
        <x:v>기본 / 세탁필요 / 아기옷장 / 계절별</x:v>
      </x:c>
      <x:c r="M14" s="18" t="str"/>
    </x:row>
    <x:row r="15" ht="24" customHeight="1">
      <x:c r="A15" s="19" t="n">
        <x:f>IF(C15="","",COUNTA($C$10:C15))</x:f>
        <x:v>6</x:v>
      </x:c>
      <x:c r="B15" s="21" t="str">
        <x:v>01 의류</x:v>
      </x:c>
      <x:c r="C15" s="19" t="str">
        <x:v>턱받이/빕</x:v>
      </x:c>
      <x:c r="D15" s="19" t="str"/>
      <x:c r="E15" s="23" t="n">
        <x:v>3</x:v>
      </x:c>
      <x:c r="F15" s="19" t="str">
        <x:v>추천</x:v>
      </x:c>
      <x:c r="G15" s="19" t="str">
        <x:v>생후 1-3개월</x:v>
      </x:c>
      <x:c r="H15" s="19" t="str">
        <x:v>미정</x:v>
      </x:c>
      <x:c r="I15" s="25"/>
      <x:c r="J15" s="25"/>
      <x:c r="K15" s="19" t="str"/>
      <x:c r="L15" s="19" t="str">
        <x:v>생활 / 세탁필요 / 아기옷장 / 침 흘림 시작 시기</x:v>
      </x:c>
      <x:c r="M15" s="19" t="str"/>
    </x:row>
    <x:row r="16" ht="24" customHeight="1">
      <x:c r="A16" s="18" t="n">
        <x:f>IF(C16="","",COUNTA($C$10:C16))</x:f>
        <x:v>7</x:v>
      </x:c>
      <x:c r="B16" s="20" t="str">
        <x:v>01 의류</x:v>
      </x:c>
      <x:c r="C16" s="18" t="str">
        <x:v>수면조끼</x:v>
      </x:c>
      <x:c r="D16" s="18" t="str"/>
      <x:c r="E16" s="22" t="n">
        <x:v>1</x:v>
      </x:c>
      <x:c r="F16" s="18" t="str">
        <x:v>계절/상황별</x:v>
      </x:c>
      <x:c r="G16" s="18" t="str">
        <x:v>계절별</x:v>
      </x:c>
      <x:c r="H16" s="18" t="str">
        <x:v>미정</x:v>
      </x:c>
      <x:c r="I16" s="24"/>
      <x:c r="J16" s="24"/>
      <x:c r="K16" s="18" t="str"/>
      <x:c r="L16" s="18" t="str">
        <x:v>생활 / 세탁필요 / 아기옷장 / 겨울/간절기</x:v>
      </x:c>
      <x:c r="M16" s="18" t="str"/>
    </x:row>
    <x:row r="17" ht="24" customHeight="1">
      <x:c r="A17" s="19" t="n">
        <x:f>IF(C17="","",COUNTA($C$10:C17))</x:f>
        <x:v>8</x:v>
      </x:c>
      <x:c r="B17" s="21" t="str">
        <x:v>01 의류</x:v>
      </x:c>
      <x:c r="C17" s="19" t="str">
        <x:v>외출복</x:v>
      </x:c>
      <x:c r="D17" s="19" t="str"/>
      <x:c r="E17" s="23" t="n">
        <x:v>2</x:v>
      </x:c>
      <x:c r="F17" s="19" t="str">
        <x:v>선택</x:v>
      </x:c>
      <x:c r="G17" s="19" t="str">
        <x:v>생후 1-3개월</x:v>
      </x:c>
      <x:c r="H17" s="19" t="str">
        <x:v>미정</x:v>
      </x:c>
      <x:c r="I17" s="25"/>
      <x:c r="J17" s="25"/>
      <x:c r="K17" s="19" t="str"/>
      <x:c r="L17" s="19" t="str">
        <x:v>생활 / 세탁필요 / 아기옷장</x:v>
      </x:c>
      <x:c r="M17" s="19" t="str"/>
    </x:row>
    <x:row r="18" ht="24" customHeight="1">
      <x:c r="A18" s="18" t="n">
        <x:f>IF(C18="","",COUNTA($C$10:C18))</x:f>
        <x:v>9</x:v>
      </x:c>
      <x:c r="B18" s="20" t="str">
        <x:v>02 침구</x:v>
      </x:c>
      <x:c r="C18" s="18" t="str">
        <x:v>아기침대 매트리스</x:v>
      </x:c>
      <x:c r="D18" s="18" t="str"/>
      <x:c r="E18" s="22" t="n">
        <x:v>1</x:v>
      </x:c>
      <x:c r="F18" s="18" t="str">
        <x:v>필수</x:v>
      </x:c>
      <x:c r="G18" s="18" t="str">
        <x:v>출산 전</x:v>
      </x:c>
      <x:c r="H18" s="18" t="str">
        <x:v>미정</x:v>
      </x:c>
      <x:c r="I18" s="24"/>
      <x:c r="J18" s="24"/>
      <x:c r="K18" s="18" t="str"/>
      <x:c r="L18" s="18" t="str">
        <x:v>수면 / 아기방</x:v>
      </x:c>
      <x:c r="M18" s="18" t="str"/>
    </x:row>
    <x:row r="19" ht="24" customHeight="1">
      <x:c r="A19" s="19" t="n">
        <x:f>IF(C19="","",COUNTA($C$10:C19))</x:f>
        <x:v>10</x:v>
      </x:c>
      <x:c r="B19" s="21" t="str">
        <x:v>02 침구</x:v>
      </x:c>
      <x:c r="C19" s="19" t="str">
        <x:v>방수요</x:v>
      </x:c>
      <x:c r="D19" s="19" t="str"/>
      <x:c r="E19" s="23" t="n">
        <x:v>2</x:v>
      </x:c>
      <x:c r="F19" s="19" t="str">
        <x:v>필수</x:v>
      </x:c>
      <x:c r="G19" s="19" t="str">
        <x:v>출산 전</x:v>
      </x:c>
      <x:c r="H19" s="19" t="str">
        <x:v>미정</x:v>
      </x:c>
      <x:c r="I19" s="25"/>
      <x:c r="J19" s="25"/>
      <x:c r="K19" s="19" t="str"/>
      <x:c r="L19" s="19" t="str">
        <x:v>수면 / 세탁필요 / 아기방</x:v>
      </x:c>
      <x:c r="M19" s="19" t="str"/>
    </x:row>
    <x:row r="20" ht="24" customHeight="1">
      <x:c r="A20" s="18" t="n">
        <x:f>IF(C20="","",COUNTA($C$10:C20))</x:f>
        <x:v>11</x:v>
      </x:c>
      <x:c r="B20" s="20" t="str">
        <x:v>02 침구</x:v>
      </x:c>
      <x:c r="C20" s="18" t="str">
        <x:v>침대 패드/시트</x:v>
      </x:c>
      <x:c r="D20" s="18" t="str"/>
      <x:c r="E20" s="22" t="n">
        <x:v>2</x:v>
      </x:c>
      <x:c r="F20" s="18" t="str">
        <x:v>필수</x:v>
      </x:c>
      <x:c r="G20" s="18" t="str">
        <x:v>출산 전</x:v>
      </x:c>
      <x:c r="H20" s="18" t="str">
        <x:v>미정</x:v>
      </x:c>
      <x:c r="I20" s="24"/>
      <x:c r="J20" s="24"/>
      <x:c r="K20" s="18" t="str"/>
      <x:c r="L20" s="18" t="str">
        <x:v>수면 / 세탁필요 / 아기방</x:v>
      </x:c>
      <x:c r="M20" s="18" t="str"/>
    </x:row>
    <x:row r="21" ht="24" customHeight="1">
      <x:c r="A21" s="19" t="n">
        <x:f>IF(C21="","",COUNTA($C$10:C21))</x:f>
        <x:v>12</x:v>
      </x:c>
      <x:c r="B21" s="21" t="str">
        <x:v>02 침구</x:v>
      </x:c>
      <x:c r="C21" s="19" t="str">
        <x:v>속싸개/스와들</x:v>
      </x:c>
      <x:c r="D21" s="19" t="str"/>
      <x:c r="E21" s="23" t="n">
        <x:v>2</x:v>
      </x:c>
      <x:c r="F21" s="19" t="str">
        <x:v>필수</x:v>
      </x:c>
      <x:c r="G21" s="19" t="str">
        <x:v>출산 전</x:v>
      </x:c>
      <x:c r="H21" s="19" t="str">
        <x:v>미정</x:v>
      </x:c>
      <x:c r="I21" s="25"/>
      <x:c r="J21" s="25"/>
      <x:c r="K21" s="19" t="str"/>
      <x:c r="L21" s="19" t="str">
        <x:v>수면 / 세탁필요 / 아기방</x:v>
      </x:c>
      <x:c r="M21" s="19" t="str"/>
    </x:row>
    <x:row r="22" ht="24" customHeight="1">
      <x:c r="A22" s="18" t="n">
        <x:f>IF(C22="","",COUNTA($C$10:C22))</x:f>
        <x:v>13</x:v>
      </x:c>
      <x:c r="B22" s="20" t="str">
        <x:v>02 침구</x:v>
      </x:c>
      <x:c r="C22" s="18" t="str">
        <x:v>블랭킷/담요</x:v>
      </x:c>
      <x:c r="D22" s="18" t="str"/>
      <x:c r="E22" s="22" t="n">
        <x:v>1</x:v>
      </x:c>
      <x:c r="F22" s="18" t="str">
        <x:v>추천</x:v>
      </x:c>
      <x:c r="G22" s="18" t="str">
        <x:v>출산 전</x:v>
      </x:c>
      <x:c r="H22" s="18" t="str">
        <x:v>미정</x:v>
      </x:c>
      <x:c r="I22" s="24"/>
      <x:c r="J22" s="24"/>
      <x:c r="K22" s="18" t="str"/>
      <x:c r="L22" s="18" t="str">
        <x:v>수면 / 세탁필요 / 아기방 / 계절별</x:v>
      </x:c>
      <x:c r="M22" s="18" t="str"/>
    </x:row>
    <x:row r="23" ht="24" customHeight="1">
      <x:c r="A23" s="19" t="n">
        <x:f>IF(C23="","",COUNTA($C$10:C23))</x:f>
        <x:v>14</x:v>
      </x:c>
      <x:c r="B23" s="21" t="str">
        <x:v>02 침구</x:v>
      </x:c>
      <x:c r="C23" s="19" t="str">
        <x:v>아기 베개</x:v>
      </x:c>
      <x:c r="D23" s="19" t="str"/>
      <x:c r="E23" s="23" t="n">
        <x:v>1</x:v>
      </x:c>
      <x:c r="F23" s="19" t="str">
        <x:v>선택</x:v>
      </x:c>
      <x:c r="G23" s="19" t="str">
        <x:v>필요시</x:v>
      </x:c>
      <x:c r="H23" s="19" t="str">
        <x:v>미정</x:v>
      </x:c>
      <x:c r="I23" s="25"/>
      <x:c r="J23" s="25"/>
      <x:c r="K23" s="19" t="str"/>
      <x:c r="L23" s="19" t="str">
        <x:v>수면 / 세탁필요 / 아기방 / 신생아 시기 사용 여부 확인</x:v>
      </x:c>
      <x:c r="M23" s="19" t="str"/>
    </x:row>
    <x:row r="24" ht="24" customHeight="1">
      <x:c r="A24" s="18" t="n">
        <x:f>IF(C24="","",COUNTA($C$10:C24))</x:f>
        <x:v>15</x:v>
      </x:c>
      <x:c r="B24" s="20" t="str">
        <x:v>02 침구</x:v>
      </x:c>
      <x:c r="C24" s="18" t="str">
        <x:v>모기장/침대 커버</x:v>
      </x:c>
      <x:c r="D24" s="18" t="str"/>
      <x:c r="E24" s="22" t="n">
        <x:v>1</x:v>
      </x:c>
      <x:c r="F24" s="18" t="str">
        <x:v>계절/상황별</x:v>
      </x:c>
      <x:c r="G24" s="18" t="str">
        <x:v>계절별</x:v>
      </x:c>
      <x:c r="H24" s="18" t="str">
        <x:v>미정</x:v>
      </x:c>
      <x:c r="I24" s="24"/>
      <x:c r="J24" s="24"/>
      <x:c r="K24" s="18" t="str"/>
      <x:c r="L24" s="18" t="str">
        <x:v>수면 / 아기방</x:v>
      </x:c>
      <x:c r="M24" s="18" t="str"/>
    </x:row>
    <x:row r="25" ht="24" customHeight="1">
      <x:c r="A25" s="19" t="n">
        <x:f>IF(C25="","",COUNTA($C$10:C25))</x:f>
        <x:v>16</x:v>
      </x:c>
      <x:c r="B25" s="21" t="str">
        <x:v>03 가구</x:v>
      </x:c>
      <x:c r="C25" s="19" t="str">
        <x:v>아기침대/요람</x:v>
      </x:c>
      <x:c r="D25" s="19" t="str"/>
      <x:c r="E25" s="23" t="n">
        <x:v>1</x:v>
      </x:c>
      <x:c r="F25" s="19" t="str">
        <x:v>필수</x:v>
      </x:c>
      <x:c r="G25" s="19" t="str">
        <x:v>출산 전</x:v>
      </x:c>
      <x:c r="H25" s="19" t="str">
        <x:v>미정</x:v>
      </x:c>
      <x:c r="I25" s="25"/>
      <x:c r="J25" s="25"/>
      <x:c r="K25" s="19" t="str"/>
      <x:c r="L25" s="19" t="str">
        <x:v>수면 / 아기방 / 대여도 가능</x:v>
      </x:c>
      <x:c r="M25" s="19" t="str"/>
    </x:row>
    <x:row r="26" ht="24" customHeight="1">
      <x:c r="A26" s="18" t="n">
        <x:f>IF(C26="","",COUNTA($C$10:C26))</x:f>
        <x:v>17</x:v>
      </x:c>
      <x:c r="B26" s="20" t="str">
        <x:v>03 가구</x:v>
      </x:c>
      <x:c r="C26" s="18" t="str">
        <x:v>아기 수납장/서랍장</x:v>
      </x:c>
      <x:c r="D26" s="18" t="str"/>
      <x:c r="E26" s="22" t="n">
        <x:v>1</x:v>
      </x:c>
      <x:c r="F26" s="18" t="str">
        <x:v>추천</x:v>
      </x:c>
      <x:c r="G26" s="18" t="str">
        <x:v>출산 전</x:v>
      </x:c>
      <x:c r="H26" s="18" t="str">
        <x:v>미정</x:v>
      </x:c>
      <x:c r="I26" s="24"/>
      <x:c r="J26" s="24"/>
      <x:c r="K26" s="18" t="str"/>
      <x:c r="L26" s="18" t="str">
        <x:v>수납 / 아기방</x:v>
      </x:c>
      <x:c r="M26" s="18" t="str"/>
    </x:row>
    <x:row r="27" ht="24" customHeight="1">
      <x:c r="A27" s="19" t="n">
        <x:f>IF(C27="","",COUNTA($C$10:C27))</x:f>
        <x:v>18</x:v>
      </x:c>
      <x:c r="B27" s="21" t="str">
        <x:v>03 가구</x:v>
      </x:c>
      <x:c r="C27" s="19" t="str">
        <x:v>기저귀 정리 트롤리</x:v>
      </x:c>
      <x:c r="D27" s="19" t="str"/>
      <x:c r="E27" s="23" t="n">
        <x:v>1</x:v>
      </x:c>
      <x:c r="F27" s="19" t="str">
        <x:v>추천</x:v>
      </x:c>
      <x:c r="G27" s="19" t="str">
        <x:v>출산 전</x:v>
      </x:c>
      <x:c r="H27" s="19" t="str">
        <x:v>미정</x:v>
      </x:c>
      <x:c r="I27" s="25"/>
      <x:c r="J27" s="25"/>
      <x:c r="K27" s="19" t="str"/>
      <x:c r="L27" s="19" t="str">
        <x:v>수납 / 거실/아기방</x:v>
      </x:c>
      <x:c r="M27" s="19" t="str"/>
    </x:row>
    <x:row r="28" ht="24" customHeight="1">
      <x:c r="A28" s="18" t="n">
        <x:f>IF(C28="","",COUNTA($C$10:C28))</x:f>
        <x:v>19</x:v>
      </x:c>
      <x:c r="B28" s="20" t="str">
        <x:v>03 가구</x:v>
      </x:c>
      <x:c r="C28" s="18" t="str">
        <x:v>기저귀갈이대</x:v>
      </x:c>
      <x:c r="D28" s="18" t="str"/>
      <x:c r="E28" s="22" t="n">
        <x:v>1</x:v>
      </x:c>
      <x:c r="F28" s="18" t="str">
        <x:v>선택</x:v>
      </x:c>
      <x:c r="G28" s="18" t="str">
        <x:v>출산 전</x:v>
      </x:c>
      <x:c r="H28" s="18" t="str">
        <x:v>미정</x:v>
      </x:c>
      <x:c r="I28" s="24"/>
      <x:c r="J28" s="24"/>
      <x:c r="K28" s="18" t="str"/>
      <x:c r="L28" s="18" t="str">
        <x:v>돌봄 / 아기방</x:v>
      </x:c>
      <x:c r="M28" s="18" t="str"/>
    </x:row>
    <x:row r="29" ht="24" customHeight="1">
      <x:c r="A29" s="19" t="n">
        <x:f>IF(C29="","",COUNTA($C$10:C29))</x:f>
        <x:v>20</x:v>
      </x:c>
      <x:c r="B29" s="21" t="str">
        <x:v>03 가구</x:v>
      </x:c>
      <x:c r="C29" s="19" t="str">
        <x:v>수유의자</x:v>
      </x:c>
      <x:c r="D29" s="19" t="str"/>
      <x:c r="E29" s="23" t="n">
        <x:v>1</x:v>
      </x:c>
      <x:c r="F29" s="19" t="str">
        <x:v>선택</x:v>
      </x:c>
      <x:c r="G29" s="19" t="str">
        <x:v>출산 전</x:v>
      </x:c>
      <x:c r="H29" s="19" t="str">
        <x:v>미정</x:v>
      </x:c>
      <x:c r="I29" s="25"/>
      <x:c r="J29" s="25"/>
      <x:c r="K29" s="19" t="str"/>
      <x:c r="L29" s="19" t="str">
        <x:v>수유 / 수유공간</x:v>
      </x:c>
      <x:c r="M29" s="19" t="str"/>
    </x:row>
    <x:row r="30" ht="24" customHeight="1">
      <x:c r="A30" s="18" t="n">
        <x:f>IF(C30="","",COUNTA($C$10:C30))</x:f>
        <x:v>21</x:v>
      </x:c>
      <x:c r="B30" s="20" t="str">
        <x:v>03 가구</x:v>
      </x:c>
      <x:c r="C30" s="18" t="str">
        <x:v>플레이매트</x:v>
      </x:c>
      <x:c r="D30" s="18" t="str"/>
      <x:c r="E30" s="22" t="n">
        <x:v>1</x:v>
      </x:c>
      <x:c r="F30" s="18" t="str">
        <x:v>추천</x:v>
      </x:c>
      <x:c r="G30" s="18" t="str">
        <x:v>생후 1-3개월</x:v>
      </x:c>
      <x:c r="H30" s="18" t="str">
        <x:v>미정</x:v>
      </x:c>
      <x:c r="I30" s="24"/>
      <x:c r="J30" s="24"/>
      <x:c r="K30" s="18" t="str"/>
      <x:c r="L30" s="18" t="str">
        <x:v>놀이 / 거실</x:v>
      </x:c>
      <x:c r="M30" s="18" t="str"/>
    </x:row>
    <x:row r="31" ht="24" customHeight="1">
      <x:c r="A31" s="19" t="n">
        <x:f>IF(C31="","",COUNTA($C$10:C31))</x:f>
        <x:v>22</x:v>
      </x:c>
      <x:c r="B31" s="21" t="str">
        <x:v>03 가구</x:v>
      </x:c>
      <x:c r="C31" s="19" t="str">
        <x:v>하이체어</x:v>
      </x:c>
      <x:c r="D31" s="19" t="str"/>
      <x:c r="E31" s="23" t="n">
        <x:v>1</x:v>
      </x:c>
      <x:c r="F31" s="19" t="str">
        <x:v>선택</x:v>
      </x:c>
      <x:c r="G31" s="19" t="str">
        <x:v>생후 3-6개월</x:v>
      </x:c>
      <x:c r="H31" s="19" t="str">
        <x:v>미정</x:v>
      </x:c>
      <x:c r="I31" s="25"/>
      <x:c r="J31" s="25"/>
      <x:c r="K31" s="19" t="str"/>
      <x:c r="L31" s="19" t="str">
        <x:v>식사 / 주방 / 이유식 시작 전</x:v>
      </x:c>
      <x:c r="M31" s="19" t="str"/>
    </x:row>
    <x:row r="32" ht="24" customHeight="1">
      <x:c r="A32" s="18" t="n">
        <x:f>IF(C32="","",COUNTA($C$10:C32))</x:f>
        <x:v>23</x:v>
      </x:c>
      <x:c r="B32" s="20" t="str">
        <x:v>04 가전</x:v>
      </x:c>
      <x:c r="C32" s="18" t="str">
        <x:v>젖병소독기</x:v>
      </x:c>
      <x:c r="D32" s="18" t="str"/>
      <x:c r="E32" s="22" t="n">
        <x:v>1</x:v>
      </x:c>
      <x:c r="F32" s="18" t="str">
        <x:v>추천</x:v>
      </x:c>
      <x:c r="G32" s="18" t="str">
        <x:v>출산 전</x:v>
      </x:c>
      <x:c r="H32" s="18" t="str">
        <x:v>미정</x:v>
      </x:c>
      <x:c r="I32" s="24"/>
      <x:c r="J32" s="24"/>
      <x:c r="K32" s="18" t="str"/>
      <x:c r="L32" s="18" t="str">
        <x:v>수유 / 주방</x:v>
      </x:c>
      <x:c r="M32" s="18" t="str"/>
    </x:row>
    <x:row r="33" ht="24" customHeight="1">
      <x:c r="A33" s="19" t="n">
        <x:f>IF(C33="","",COUNTA($C$10:C33))</x:f>
        <x:v>24</x:v>
      </x:c>
      <x:c r="B33" s="21" t="str">
        <x:v>04 가전</x:v>
      </x:c>
      <x:c r="C33" s="19" t="str">
        <x:v>분유포트</x:v>
      </x:c>
      <x:c r="D33" s="19" t="str"/>
      <x:c r="E33" s="23" t="n">
        <x:v>1</x:v>
      </x:c>
      <x:c r="F33" s="19" t="str">
        <x:v>추천</x:v>
      </x:c>
      <x:c r="G33" s="19" t="str">
        <x:v>출산 전</x:v>
      </x:c>
      <x:c r="H33" s="19" t="str">
        <x:v>미정</x:v>
      </x:c>
      <x:c r="I33" s="25"/>
      <x:c r="J33" s="25"/>
      <x:c r="K33" s="19" t="str"/>
      <x:c r="L33" s="19" t="str">
        <x:v>수유 / 주방 / 분유 수유 예정 시</x:v>
      </x:c>
      <x:c r="M33" s="19" t="str"/>
    </x:row>
    <x:row r="34" ht="24" customHeight="1">
      <x:c r="A34" s="18" t="n">
        <x:f>IF(C34="","",COUNTA($C$10:C34))</x:f>
        <x:v>25</x:v>
      </x:c>
      <x:c r="B34" s="20" t="str">
        <x:v>04 가전</x:v>
      </x:c>
      <x:c r="C34" s="18" t="str">
        <x:v>온습도계</x:v>
      </x:c>
      <x:c r="D34" s="18" t="str"/>
      <x:c r="E34" s="22" t="n">
        <x:v>1</x:v>
      </x:c>
      <x:c r="F34" s="18" t="str">
        <x:v>필수</x:v>
      </x:c>
      <x:c r="G34" s="18" t="str">
        <x:v>출산 전</x:v>
      </x:c>
      <x:c r="H34" s="18" t="str">
        <x:v>미정</x:v>
      </x:c>
      <x:c r="I34" s="24"/>
      <x:c r="J34" s="24"/>
      <x:c r="K34" s="18" t="str"/>
      <x:c r="L34" s="18" t="str">
        <x:v>환경 / 아기방</x:v>
      </x:c>
      <x:c r="M34" s="18" t="str"/>
    </x:row>
    <x:row r="35" ht="24" customHeight="1">
      <x:c r="A35" s="19" t="n">
        <x:f>IF(C35="","",COUNTA($C$10:C35))</x:f>
        <x:v>26</x:v>
      </x:c>
      <x:c r="B35" s="21" t="str">
        <x:v>04 가전</x:v>
      </x:c>
      <x:c r="C35" s="19" t="str">
        <x:v>가습기</x:v>
      </x:c>
      <x:c r="D35" s="19" t="str"/>
      <x:c r="E35" s="23" t="n">
        <x:v>1</x:v>
      </x:c>
      <x:c r="F35" s="19" t="str">
        <x:v>계절/상황별</x:v>
      </x:c>
      <x:c r="G35" s="19" t="str">
        <x:v>계절별</x:v>
      </x:c>
      <x:c r="H35" s="19" t="str">
        <x:v>미정</x:v>
      </x:c>
      <x:c r="I35" s="25"/>
      <x:c r="J35" s="25"/>
      <x:c r="K35" s="19" t="str"/>
      <x:c r="L35" s="19" t="str">
        <x:v>환경 / 세척필요 / 아기방 / 세척 쉬운 제품</x:v>
      </x:c>
      <x:c r="M35" s="19" t="str"/>
    </x:row>
    <x:row r="36" ht="24" customHeight="1">
      <x:c r="A36" s="18" t="n">
        <x:f>IF(C36="","",COUNTA($C$10:C36))</x:f>
        <x:v>27</x:v>
      </x:c>
      <x:c r="B36" s="20" t="str">
        <x:v>04 가전</x:v>
      </x:c>
      <x:c r="C36" s="18" t="str">
        <x:v>공기청정기</x:v>
      </x:c>
      <x:c r="D36" s="18" t="str"/>
      <x:c r="E36" s="22" t="n">
        <x:v>1</x:v>
      </x:c>
      <x:c r="F36" s="18" t="str">
        <x:v>선택</x:v>
      </x:c>
      <x:c r="G36" s="18" t="str">
        <x:v>필요시</x:v>
      </x:c>
      <x:c r="H36" s="18" t="str">
        <x:v>미정</x:v>
      </x:c>
      <x:c r="I36" s="24"/>
      <x:c r="J36" s="24"/>
      <x:c r="K36" s="18" t="str"/>
      <x:c r="L36" s="18" t="str">
        <x:v>환경 / 아기방</x:v>
      </x:c>
      <x:c r="M36" s="18" t="str"/>
    </x:row>
    <x:row r="37" ht="24" customHeight="1">
      <x:c r="A37" s="19" t="n">
        <x:f>IF(C37="","",COUNTA($C$10:C37))</x:f>
        <x:v>28</x:v>
      </x:c>
      <x:c r="B37" s="21" t="str">
        <x:v>04 가전</x:v>
      </x:c>
      <x:c r="C37" s="19" t="str">
        <x:v>베이비모니터/CCTV</x:v>
      </x:c>
      <x:c r="D37" s="19" t="str"/>
      <x:c r="E37" s="23" t="n">
        <x:v>1</x:v>
      </x:c>
      <x:c r="F37" s="19" t="str">
        <x:v>선택</x:v>
      </x:c>
      <x:c r="G37" s="19" t="str">
        <x:v>필요시</x:v>
      </x:c>
      <x:c r="H37" s="19" t="str">
        <x:v>미정</x:v>
      </x:c>
      <x:c r="I37" s="25"/>
      <x:c r="J37" s="25"/>
      <x:c r="K37" s="19" t="str"/>
      <x:c r="L37" s="19" t="str">
        <x:v>안전 / 아기방</x:v>
      </x:c>
      <x:c r="M37" s="19" t="str"/>
    </x:row>
    <x:row r="38" ht="24" customHeight="1">
      <x:c r="A38" s="18" t="n">
        <x:f>IF(C38="","",COUNTA($C$10:C38))</x:f>
        <x:v>29</x:v>
      </x:c>
      <x:c r="B38" s="20" t="str">
        <x:v>04 가전</x:v>
      </x:c>
      <x:c r="C38" s="18" t="str">
        <x:v>백색소음기</x:v>
      </x:c>
      <x:c r="D38" s="18" t="str"/>
      <x:c r="E38" s="22" t="n">
        <x:v>1</x:v>
      </x:c>
      <x:c r="F38" s="18" t="str">
        <x:v>선택</x:v>
      </x:c>
      <x:c r="G38" s="18" t="str">
        <x:v>필요시</x:v>
      </x:c>
      <x:c r="H38" s="18" t="str">
        <x:v>미정</x:v>
      </x:c>
      <x:c r="I38" s="24"/>
      <x:c r="J38" s="24"/>
      <x:c r="K38" s="18" t="str"/>
      <x:c r="L38" s="18" t="str">
        <x:v>수면 / 아기방</x:v>
      </x:c>
      <x:c r="M38" s="18" t="str"/>
    </x:row>
    <x:row r="39" ht="24" customHeight="1">
      <x:c r="A39" s="19" t="n">
        <x:f>IF(C39="","",COUNTA($C$10:C39))</x:f>
        <x:v>30</x:v>
      </x:c>
      <x:c r="B39" s="21" t="str">
        <x:v>05 모유/수유</x:v>
      </x:c>
      <x:c r="C39" s="19" t="str">
        <x:v>젖병</x:v>
      </x:c>
      <x:c r="D39" s="19" t="str"/>
      <x:c r="E39" s="23" t="n">
        <x:v>4</x:v>
      </x:c>
      <x:c r="F39" s="19" t="str">
        <x:v>필수</x:v>
      </x:c>
      <x:c r="G39" s="19" t="str">
        <x:v>출산 전</x:v>
      </x:c>
      <x:c r="H39" s="19" t="str">
        <x:v>미정</x:v>
      </x:c>
      <x:c r="I39" s="25"/>
      <x:c r="J39" s="25"/>
      <x:c r="K39" s="19" t="str"/>
      <x:c r="L39" s="19" t="str">
        <x:v>젖병 / 소독필요 / 주방 / 혼합/분유 수유 대비</x:v>
      </x:c>
      <x:c r="M39" s="19" t="str"/>
    </x:row>
    <x:row r="40" ht="24" customHeight="1">
      <x:c r="A40" s="18" t="n">
        <x:f>IF(C40="","",COUNTA($C$10:C40))</x:f>
        <x:v>31</x:v>
      </x:c>
      <x:c r="B40" s="20" t="str">
        <x:v>05 모유/수유</x:v>
      </x:c>
      <x:c r="C40" s="18" t="str">
        <x:v>젖꼭지</x:v>
      </x:c>
      <x:c r="D40" s="18" t="str"/>
      <x:c r="E40" s="22" t="n">
        <x:v>1</x:v>
      </x:c>
      <x:c r="F40" s="18" t="str">
        <x:v>필수</x:v>
      </x:c>
      <x:c r="G40" s="18" t="str">
        <x:v>출산 전</x:v>
      </x:c>
      <x:c r="H40" s="18" t="str">
        <x:v>미정</x:v>
      </x:c>
      <x:c r="I40" s="24"/>
      <x:c r="J40" s="24"/>
      <x:c r="K40" s="18" t="str"/>
      <x:c r="L40" s="18" t="str">
        <x:v>젖병 / 소독필요 / 주방 / 월령별 단계 확인</x:v>
      </x:c>
      <x:c r="M40" s="18" t="str"/>
    </x:row>
    <x:row r="41" ht="24" customHeight="1">
      <x:c r="A41" s="19" t="n">
        <x:f>IF(C41="","",COUNTA($C$10:C41))</x:f>
        <x:v>32</x:v>
      </x:c>
      <x:c r="B41" s="21" t="str">
        <x:v>05 모유/수유</x:v>
      </x:c>
      <x:c r="C41" s="19" t="str">
        <x:v>분유</x:v>
      </x:c>
      <x:c r="D41" s="19" t="str"/>
      <x:c r="E41" s="23" t="n">
        <x:v>1</x:v>
      </x:c>
      <x:c r="F41" s="19" t="str">
        <x:v>선택</x:v>
      </x:c>
      <x:c r="G41" s="19" t="str">
        <x:v>필요시</x:v>
      </x:c>
      <x:c r="H41" s="19" t="str">
        <x:v>미정</x:v>
      </x:c>
      <x:c r="I41" s="25"/>
      <x:c r="J41" s="25"/>
      <x:c r="K41" s="19" t="str"/>
      <x:c r="L41" s="19" t="str">
        <x:v>분유 / 주방 / 병원/소아과 상담 후</x:v>
      </x:c>
      <x:c r="M41" s="19" t="str"/>
    </x:row>
    <x:row r="42" ht="24" customHeight="1">
      <x:c r="A42" s="18" t="n">
        <x:f>IF(C42="","",COUNTA($C$10:C42))</x:f>
        <x:v>33</x:v>
      </x:c>
      <x:c r="B42" s="20" t="str">
        <x:v>05 모유/수유</x:v>
      </x:c>
      <x:c r="C42" s="18" t="str">
        <x:v>분유케이스</x:v>
      </x:c>
      <x:c r="D42" s="18" t="str"/>
      <x:c r="E42" s="22" t="n">
        <x:v>1</x:v>
      </x:c>
      <x:c r="F42" s="18" t="str">
        <x:v>선택</x:v>
      </x:c>
      <x:c r="G42" s="18" t="str">
        <x:v>생후 0-1개월</x:v>
      </x:c>
      <x:c r="H42" s="18" t="str">
        <x:v>미정</x:v>
      </x:c>
      <x:c r="I42" s="24"/>
      <x:c r="J42" s="24"/>
      <x:c r="K42" s="18" t="str"/>
      <x:c r="L42" s="18" t="str">
        <x:v>분유 / 소독필요 / 주방 / 외출용</x:v>
      </x:c>
      <x:c r="M42" s="18" t="str"/>
    </x:row>
    <x:row r="43" ht="24" customHeight="1">
      <x:c r="A43" s="19" t="n">
        <x:f>IF(C43="","",COUNTA($C$10:C43))</x:f>
        <x:v>34</x:v>
      </x:c>
      <x:c r="B43" s="21" t="str">
        <x:v>05 모유/수유</x:v>
      </x:c>
      <x:c r="C43" s="19" t="str">
        <x:v>유축기</x:v>
      </x:c>
      <x:c r="D43" s="19" t="str"/>
      <x:c r="E43" s="23" t="n">
        <x:v>1</x:v>
      </x:c>
      <x:c r="F43" s="19" t="str">
        <x:v>선택</x:v>
      </x:c>
      <x:c r="G43" s="19" t="str">
        <x:v>필요시</x:v>
      </x:c>
      <x:c r="H43" s="19" t="str">
        <x:v>미정</x:v>
      </x:c>
      <x:c r="I43" s="25"/>
      <x:c r="J43" s="25"/>
      <x:c r="K43" s="19" t="str"/>
      <x:c r="L43" s="19" t="str">
        <x:v>모유 / 소독필요 / 수유공간 / 대여 가능</x:v>
      </x:c>
      <x:c r="M43" s="19" t="str"/>
    </x:row>
    <x:row r="44" ht="24" customHeight="1">
      <x:c r="A44" s="18" t="n">
        <x:f>IF(C44="","",COUNTA($C$10:C44))</x:f>
        <x:v>35</x:v>
      </x:c>
      <x:c r="B44" s="20" t="str">
        <x:v>05 모유/수유</x:v>
      </x:c>
      <x:c r="C44" s="18" t="str">
        <x:v>모유저장팩</x:v>
      </x:c>
      <x:c r="D44" s="18" t="str"/>
      <x:c r="E44" s="22" t="n">
        <x:v>1</x:v>
      </x:c>
      <x:c r="F44" s="18" t="str">
        <x:v>추천</x:v>
      </x:c>
      <x:c r="G44" s="18" t="str">
        <x:v>출산 전</x:v>
      </x:c>
      <x:c r="H44" s="18" t="str">
        <x:v>미정</x:v>
      </x:c>
      <x:c r="I44" s="24"/>
      <x:c r="J44" s="24"/>
      <x:c r="K44" s="18" t="str"/>
      <x:c r="L44" s="18" t="str">
        <x:v>모유 / 주방</x:v>
      </x:c>
      <x:c r="M44" s="18" t="str"/>
    </x:row>
    <x:row r="45" ht="24" customHeight="1">
      <x:c r="A45" s="19" t="n">
        <x:f>IF(C45="","",COUNTA($C$10:C45))</x:f>
        <x:v>36</x:v>
      </x:c>
      <x:c r="B45" s="21" t="str">
        <x:v>05 모유/수유</x:v>
      </x:c>
      <x:c r="C45" s="19" t="str">
        <x:v>수유패드</x:v>
      </x:c>
      <x:c r="D45" s="19" t="str"/>
      <x:c r="E45" s="23" t="n">
        <x:v>1</x:v>
      </x:c>
      <x:c r="F45" s="19" t="str">
        <x:v>필수</x:v>
      </x:c>
      <x:c r="G45" s="19" t="str">
        <x:v>출산 전</x:v>
      </x:c>
      <x:c r="H45" s="19" t="str">
        <x:v>미정</x:v>
      </x:c>
      <x:c r="I45" s="25"/>
      <x:c r="J45" s="25"/>
      <x:c r="K45" s="19" t="str"/>
      <x:c r="L45" s="19" t="str">
        <x:v>모유 / 수유공간</x:v>
      </x:c>
      <x:c r="M45" s="19" t="str"/>
    </x:row>
    <x:row r="46" ht="24" customHeight="1">
      <x:c r="A46" s="18" t="n">
        <x:f>IF(C46="","",COUNTA($C$10:C46))</x:f>
        <x:v>37</x:v>
      </x:c>
      <x:c r="B46" s="20" t="str">
        <x:v>05 모유/수유</x:v>
      </x:c>
      <x:c r="C46" s="18" t="str">
        <x:v>수유쿠션</x:v>
      </x:c>
      <x:c r="D46" s="18" t="str"/>
      <x:c r="E46" s="22" t="n">
        <x:v>1</x:v>
      </x:c>
      <x:c r="F46" s="18" t="str">
        <x:v>추천</x:v>
      </x:c>
      <x:c r="G46" s="18" t="str">
        <x:v>출산 전</x:v>
      </x:c>
      <x:c r="H46" s="18" t="str">
        <x:v>미정</x:v>
      </x:c>
      <x:c r="I46" s="24"/>
      <x:c r="J46" s="24"/>
      <x:c r="K46" s="18" t="str"/>
      <x:c r="L46" s="18" t="str">
        <x:v>모유 / 수유공간</x:v>
      </x:c>
      <x:c r="M46" s="18" t="str"/>
    </x:row>
    <x:row r="47" ht="24" customHeight="1">
      <x:c r="A47" s="19" t="n">
        <x:f>IF(C47="","",COUNTA($C$10:C47))</x:f>
        <x:v>38</x:v>
      </x:c>
      <x:c r="B47" s="21" t="str">
        <x:v>05 모유/수유</x:v>
      </x:c>
      <x:c r="C47" s="19" t="str">
        <x:v>유두크림/보호기</x:v>
      </x:c>
      <x:c r="D47" s="19" t="str"/>
      <x:c r="E47" s="23" t="n">
        <x:v>1</x:v>
      </x:c>
      <x:c r="F47" s="19" t="str">
        <x:v>추천</x:v>
      </x:c>
      <x:c r="G47" s="19" t="str">
        <x:v>출산 전</x:v>
      </x:c>
      <x:c r="H47" s="19" t="str">
        <x:v>미정</x:v>
      </x:c>
      <x:c r="I47" s="25"/>
      <x:c r="J47" s="25"/>
      <x:c r="K47" s="19" t="str"/>
      <x:c r="L47" s="19" t="str">
        <x:v>모유 / 수유공간</x:v>
      </x:c>
      <x:c r="M47" s="19" t="str"/>
    </x:row>
    <x:row r="48" ht="24" customHeight="1">
      <x:c r="A48" s="18" t="n">
        <x:f>IF(C48="","",COUNTA($C$10:C48))</x:f>
        <x:v>39</x:v>
      </x:c>
      <x:c r="B48" s="20" t="str">
        <x:v>05 모유/수유</x:v>
      </x:c>
      <x:c r="C48" s="18" t="str">
        <x:v>젖병건조대</x:v>
      </x:c>
      <x:c r="D48" s="18" t="str"/>
      <x:c r="E48" s="22" t="n">
        <x:v>1</x:v>
      </x:c>
      <x:c r="F48" s="18" t="str">
        <x:v>추천</x:v>
      </x:c>
      <x:c r="G48" s="18" t="str">
        <x:v>출산 전</x:v>
      </x:c>
      <x:c r="H48" s="18" t="str">
        <x:v>미정</x:v>
      </x:c>
      <x:c r="I48" s="24"/>
      <x:c r="J48" s="24"/>
      <x:c r="K48" s="18" t="str"/>
      <x:c r="L48" s="18" t="str">
        <x:v>정리 / 세척필요 / 주방</x:v>
      </x:c>
      <x:c r="M48" s="18" t="str"/>
    </x:row>
    <x:row r="49" ht="24" customHeight="1">
      <x:c r="A49" s="19" t="n">
        <x:f>IF(C49="","",COUNTA($C$10:C49))</x:f>
        <x:v>40</x:v>
      </x:c>
      <x:c r="B49" s="21" t="str">
        <x:v>06 세척</x:v>
      </x:c>
      <x:c r="C49" s="19" t="str">
        <x:v>젖병솔</x:v>
      </x:c>
      <x:c r="D49" s="19" t="str"/>
      <x:c r="E49" s="23" t="n">
        <x:v>1</x:v>
      </x:c>
      <x:c r="F49" s="19" t="str">
        <x:v>필수</x:v>
      </x:c>
      <x:c r="G49" s="19" t="str">
        <x:v>출산 전</x:v>
      </x:c>
      <x:c r="H49" s="19" t="str">
        <x:v>미정</x:v>
      </x:c>
      <x:c r="I49" s="25"/>
      <x:c r="J49" s="25"/>
      <x:c r="K49" s="19" t="str"/>
      <x:c r="L49" s="19" t="str">
        <x:v>젖병 / 주방</x:v>
      </x:c>
      <x:c r="M49" s="19" t="str"/>
    </x:row>
    <x:row r="50" ht="24" customHeight="1">
      <x:c r="A50" s="18" t="n">
        <x:f>IF(C50="","",COUNTA($C$10:C50))</x:f>
        <x:v>41</x:v>
      </x:c>
      <x:c r="B50" s="20" t="str">
        <x:v>06 세척</x:v>
      </x:c>
      <x:c r="C50" s="18" t="str">
        <x:v>젖병세정제</x:v>
      </x:c>
      <x:c r="D50" s="18" t="str"/>
      <x:c r="E50" s="22" t="n">
        <x:v>1</x:v>
      </x:c>
      <x:c r="F50" s="18" t="str">
        <x:v>필수</x:v>
      </x:c>
      <x:c r="G50" s="18" t="str">
        <x:v>출산 전</x:v>
      </x:c>
      <x:c r="H50" s="18" t="str">
        <x:v>미정</x:v>
      </x:c>
      <x:c r="I50" s="24"/>
      <x:c r="J50" s="24"/>
      <x:c r="K50" s="18" t="str"/>
      <x:c r="L50" s="18" t="str">
        <x:v>젖병 / 주방</x:v>
      </x:c>
      <x:c r="M50" s="18" t="str"/>
    </x:row>
    <x:row r="51" ht="24" customHeight="1">
      <x:c r="A51" s="19" t="n">
        <x:f>IF(C51="","",COUNTA($C$10:C51))</x:f>
        <x:v>42</x:v>
      </x:c>
      <x:c r="B51" s="21" t="str">
        <x:v>06 세척</x:v>
      </x:c>
      <x:c r="C51" s="19" t="str">
        <x:v>아기 세탁세제</x:v>
      </x:c>
      <x:c r="D51" s="19" t="str"/>
      <x:c r="E51" s="23" t="n">
        <x:v>1</x:v>
      </x:c>
      <x:c r="F51" s="19" t="str">
        <x:v>필수</x:v>
      </x:c>
      <x:c r="G51" s="19" t="str">
        <x:v>출산 전</x:v>
      </x:c>
      <x:c r="H51" s="19" t="str">
        <x:v>미정</x:v>
      </x:c>
      <x:c r="I51" s="25"/>
      <x:c r="J51" s="25"/>
      <x:c r="K51" s="19" t="str"/>
      <x:c r="L51" s="19" t="str">
        <x:v>세탁 / 세탁실</x:v>
      </x:c>
      <x:c r="M51" s="19" t="str"/>
    </x:row>
    <x:row r="52" ht="24" customHeight="1">
      <x:c r="A52" s="18" t="n">
        <x:f>IF(C52="","",COUNTA($C$10:C52))</x:f>
        <x:v>43</x:v>
      </x:c>
      <x:c r="B52" s="20" t="str">
        <x:v>06 세척</x:v>
      </x:c>
      <x:c r="C52" s="18" t="str">
        <x:v>아기 섬유유연제</x:v>
      </x:c>
      <x:c r="D52" s="18" t="str"/>
      <x:c r="E52" s="22" t="n">
        <x:v>1</x:v>
      </x:c>
      <x:c r="F52" s="18" t="str">
        <x:v>선택</x:v>
      </x:c>
      <x:c r="G52" s="18" t="str">
        <x:v>필요시</x:v>
      </x:c>
      <x:c r="H52" s="18" t="str">
        <x:v>미정</x:v>
      </x:c>
      <x:c r="I52" s="24"/>
      <x:c r="J52" s="24"/>
      <x:c r="K52" s="18" t="str"/>
      <x:c r="L52" s="18" t="str">
        <x:v>세탁 / 세탁실 / 피부 상태에 따라</x:v>
      </x:c>
      <x:c r="M52" s="18" t="str"/>
    </x:row>
    <x:row r="53" ht="24" customHeight="1">
      <x:c r="A53" s="19" t="n">
        <x:f>IF(C53="","",COUNTA($C$10:C53))</x:f>
        <x:v>44</x:v>
      </x:c>
      <x:c r="B53" s="21" t="str">
        <x:v>06 세척</x:v>
      </x:c>
      <x:c r="C53" s="19" t="str">
        <x:v>세탁망</x:v>
      </x:c>
      <x:c r="D53" s="19" t="str"/>
      <x:c r="E53" s="23" t="n">
        <x:v>2</x:v>
      </x:c>
      <x:c r="F53" s="19" t="str">
        <x:v>추천</x:v>
      </x:c>
      <x:c r="G53" s="19" t="str">
        <x:v>출산 전</x:v>
      </x:c>
      <x:c r="H53" s="19" t="str">
        <x:v>미정</x:v>
      </x:c>
      <x:c r="I53" s="25"/>
      <x:c r="J53" s="25"/>
      <x:c r="K53" s="19" t="str"/>
      <x:c r="L53" s="19" t="str">
        <x:v>세탁 / 세탁실</x:v>
      </x:c>
      <x:c r="M53" s="19" t="str"/>
    </x:row>
    <x:row r="54" ht="24" customHeight="1">
      <x:c r="A54" s="18" t="n">
        <x:f>IF(C54="","",COUNTA($C$10:C54))</x:f>
        <x:v>45</x:v>
      </x:c>
      <x:c r="B54" s="20" t="str">
        <x:v>06 세척</x:v>
      </x:c>
      <x:c r="C54" s="18" t="str">
        <x:v>빨래비누/얼룩제거제</x:v>
      </x:c>
      <x:c r="D54" s="18" t="str"/>
      <x:c r="E54" s="22" t="n">
        <x:v>1</x:v>
      </x:c>
      <x:c r="F54" s="18" t="str">
        <x:v>추천</x:v>
      </x:c>
      <x:c r="G54" s="18" t="str">
        <x:v>생후 0-1개월</x:v>
      </x:c>
      <x:c r="H54" s="18" t="str">
        <x:v>미정</x:v>
      </x:c>
      <x:c r="I54" s="24"/>
      <x:c r="J54" s="24"/>
      <x:c r="K54" s="18" t="str"/>
      <x:c r="L54" s="18" t="str">
        <x:v>세탁 / 세탁실</x:v>
      </x:c>
      <x:c r="M54" s="18" t="str"/>
    </x:row>
    <x:row r="55" ht="24" customHeight="1">
      <x:c r="A55" s="19" t="n">
        <x:f>IF(C55="","",COUNTA($C$10:C55))</x:f>
        <x:v>46</x:v>
      </x:c>
      <x:c r="B55" s="21" t="str">
        <x:v>06 세척</x:v>
      </x:c>
      <x:c r="C55" s="19" t="str">
        <x:v>소독 집게/집기</x:v>
      </x:c>
      <x:c r="D55" s="19" t="str"/>
      <x:c r="E55" s="23" t="n">
        <x:v>1</x:v>
      </x:c>
      <x:c r="F55" s="19" t="str">
        <x:v>선택</x:v>
      </x:c>
      <x:c r="G55" s="19" t="str">
        <x:v>출산 전</x:v>
      </x:c>
      <x:c r="H55" s="19" t="str">
        <x:v>미정</x:v>
      </x:c>
      <x:c r="I55" s="25"/>
      <x:c r="J55" s="25"/>
      <x:c r="K55" s="19" t="str"/>
      <x:c r="L55" s="19" t="str">
        <x:v>위생 / 소독필요 / 주방</x:v>
      </x:c>
      <x:c r="M55" s="19" t="str"/>
    </x:row>
    <x:row r="56" ht="24" customHeight="1">
      <x:c r="A56" s="18" t="n">
        <x:f>IF(C56="","",COUNTA($C$10:C56))</x:f>
        <x:v>47</x:v>
      </x:c>
      <x:c r="B56" s="20" t="str">
        <x:v>07 위생</x:v>
      </x:c>
      <x:c r="C56" s="18" t="str">
        <x:v>신생아 기저귀</x:v>
      </x:c>
      <x:c r="D56" s="18" t="str"/>
      <x:c r="E56" s="22" t="n">
        <x:v>2</x:v>
      </x:c>
      <x:c r="F56" s="18" t="str">
        <x:v>필수</x:v>
      </x:c>
      <x:c r="G56" s="18" t="str">
        <x:v>출산 전</x:v>
      </x:c>
      <x:c r="H56" s="18" t="str">
        <x:v>미정</x:v>
      </x:c>
      <x:c r="I56" s="24"/>
      <x:c r="J56" s="24"/>
      <x:c r="K56" s="18" t="str"/>
      <x:c r="L56" s="18" t="str">
        <x:v>기저귀 / 기저귀존 / 아기 체형에 맞춰 추가 구매</x:v>
      </x:c>
      <x:c r="M56" s="18" t="str"/>
    </x:row>
    <x:row r="57" ht="24" customHeight="1">
      <x:c r="A57" s="19" t="n">
        <x:f>IF(C57="","",COUNTA($C$10:C57))</x:f>
        <x:v>48</x:v>
      </x:c>
      <x:c r="B57" s="21" t="str">
        <x:v>07 위생</x:v>
      </x:c>
      <x:c r="C57" s="19" t="str">
        <x:v>아기 물티슈</x:v>
      </x:c>
      <x:c r="D57" s="19" t="str"/>
      <x:c r="E57" s="23" t="n">
        <x:v>1</x:v>
      </x:c>
      <x:c r="F57" s="19" t="str">
        <x:v>필수</x:v>
      </x:c>
      <x:c r="G57" s="19" t="str">
        <x:v>출산 전</x:v>
      </x:c>
      <x:c r="H57" s="19" t="str">
        <x:v>미정</x:v>
      </x:c>
      <x:c r="I57" s="25"/>
      <x:c r="J57" s="25"/>
      <x:c r="K57" s="19" t="str"/>
      <x:c r="L57" s="19" t="str">
        <x:v>기저귀 / 기저귀존</x:v>
      </x:c>
      <x:c r="M57" s="19" t="str"/>
    </x:row>
    <x:row r="58" ht="24" customHeight="1">
      <x:c r="A58" s="18" t="n">
        <x:f>IF(C58="","",COUNTA($C$10:C58))</x:f>
        <x:v>49</x:v>
      </x:c>
      <x:c r="B58" s="20" t="str">
        <x:v>07 위생</x:v>
      </x:c>
      <x:c r="C58" s="18" t="str">
        <x:v>기저귀크림/비판텐류</x:v>
      </x:c>
      <x:c r="D58" s="18" t="str"/>
      <x:c r="E58" s="22" t="n">
        <x:v>1</x:v>
      </x:c>
      <x:c r="F58" s="18" t="str">
        <x:v>추천</x:v>
      </x:c>
      <x:c r="G58" s="18" t="str">
        <x:v>생후 0-1개월</x:v>
      </x:c>
      <x:c r="H58" s="18" t="str">
        <x:v>미정</x:v>
      </x:c>
      <x:c r="I58" s="24"/>
      <x:c r="J58" s="24"/>
      <x:c r="K58" s="18" t="str"/>
      <x:c r="L58" s="18" t="str">
        <x:v>기저귀 / 기저귀존</x:v>
      </x:c>
      <x:c r="M58" s="18" t="str"/>
    </x:row>
    <x:row r="59" ht="24" customHeight="1">
      <x:c r="A59" s="19" t="n">
        <x:f>IF(C59="","",COUNTA($C$10:C59))</x:f>
        <x:v>50</x:v>
      </x:c>
      <x:c r="B59" s="21" t="str">
        <x:v>07 위생</x:v>
      </x:c>
      <x:c r="C59" s="19" t="str">
        <x:v>기저귀 휴지통/봉투</x:v>
      </x:c>
      <x:c r="D59" s="19" t="str"/>
      <x:c r="E59" s="23" t="n">
        <x:v>1</x:v>
      </x:c>
      <x:c r="F59" s="19" t="str">
        <x:v>선택</x:v>
      </x:c>
      <x:c r="G59" s="19" t="str">
        <x:v>출산 전</x:v>
      </x:c>
      <x:c r="H59" s="19" t="str">
        <x:v>미정</x:v>
      </x:c>
      <x:c r="I59" s="25"/>
      <x:c r="J59" s="25"/>
      <x:c r="K59" s="19" t="str"/>
      <x:c r="L59" s="19" t="str">
        <x:v>기저귀 / 기저귀존</x:v>
      </x:c>
      <x:c r="M59" s="19" t="str"/>
    </x:row>
    <x:row r="60" ht="24" customHeight="1">
      <x:c r="A60" s="18" t="n">
        <x:f>IF(C60="","",COUNTA($C$10:C60))</x:f>
        <x:v>51</x:v>
      </x:c>
      <x:c r="B60" s="20" t="str">
        <x:v>07 위생</x:v>
      </x:c>
      <x:c r="C60" s="18" t="str">
        <x:v>아기 면봉</x:v>
      </x:c>
      <x:c r="D60" s="18" t="str"/>
      <x:c r="E60" s="22" t="n">
        <x:v>1</x:v>
      </x:c>
      <x:c r="F60" s="18" t="str">
        <x:v>필수</x:v>
      </x:c>
      <x:c r="G60" s="18" t="str">
        <x:v>출산 전</x:v>
      </x:c>
      <x:c r="H60" s="18" t="str">
        <x:v>미정</x:v>
      </x:c>
      <x:c r="I60" s="24"/>
      <x:c r="J60" s="24"/>
      <x:c r="K60" s="18" t="str"/>
      <x:c r="L60" s="18" t="str">
        <x:v>케어 / 기저귀존</x:v>
      </x:c>
      <x:c r="M60" s="18" t="str"/>
    </x:row>
    <x:row r="61" ht="24" customHeight="1">
      <x:c r="A61" s="19" t="n">
        <x:f>IF(C61="","",COUNTA($C$10:C61))</x:f>
        <x:v>52</x:v>
      </x:c>
      <x:c r="B61" s="21" t="str">
        <x:v>07 위생</x:v>
      </x:c>
      <x:c r="C61" s="19" t="str">
        <x:v>손톱가위/네일파일</x:v>
      </x:c>
      <x:c r="D61" s="19" t="str"/>
      <x:c r="E61" s="23" t="n">
        <x:v>1</x:v>
      </x:c>
      <x:c r="F61" s="19" t="str">
        <x:v>필수</x:v>
      </x:c>
      <x:c r="G61" s="19" t="str">
        <x:v>출산 전</x:v>
      </x:c>
      <x:c r="H61" s="19" t="str">
        <x:v>미정</x:v>
      </x:c>
      <x:c r="I61" s="25"/>
      <x:c r="J61" s="25"/>
      <x:c r="K61" s="19" t="str"/>
      <x:c r="L61" s="19" t="str">
        <x:v>케어 / 소독필요 / 케어박스</x:v>
      </x:c>
      <x:c r="M61" s="19" t="str"/>
    </x:row>
    <x:row r="62" ht="24" customHeight="1">
      <x:c r="A62" s="18" t="n">
        <x:f>IF(C62="","",COUNTA($C$10:C62))</x:f>
        <x:v>53</x:v>
      </x:c>
      <x:c r="B62" s="20" t="str">
        <x:v>07 위생</x:v>
      </x:c>
      <x:c r="C62" s="18" t="str">
        <x:v>체온계</x:v>
      </x:c>
      <x:c r="D62" s="18" t="str"/>
      <x:c r="E62" s="22" t="n">
        <x:v>1</x:v>
      </x:c>
      <x:c r="F62" s="18" t="str">
        <x:v>필수</x:v>
      </x:c>
      <x:c r="G62" s="18" t="str">
        <x:v>출산 전</x:v>
      </x:c>
      <x:c r="H62" s="18" t="str">
        <x:v>미정</x:v>
      </x:c>
      <x:c r="I62" s="24"/>
      <x:c r="J62" s="24"/>
      <x:c r="K62" s="18" t="str"/>
      <x:c r="L62" s="18" t="str">
        <x:v>건강 / 케어박스</x:v>
      </x:c>
      <x:c r="M62" s="18" t="str"/>
    </x:row>
    <x:row r="63" ht="24" customHeight="1">
      <x:c r="A63" s="19" t="n">
        <x:f>IF(C63="","",COUNTA($C$10:C63))</x:f>
        <x:v>54</x:v>
      </x:c>
      <x:c r="B63" s="21" t="str">
        <x:v>07 위생</x:v>
      </x:c>
      <x:c r="C63" s="19" t="str">
        <x:v>콧물흡입기</x:v>
      </x:c>
      <x:c r="D63" s="19" t="str"/>
      <x:c r="E63" s="23" t="n">
        <x:v>1</x:v>
      </x:c>
      <x:c r="F63" s="19" t="str">
        <x:v>추천</x:v>
      </x:c>
      <x:c r="G63" s="19" t="str">
        <x:v>생후 0-1개월</x:v>
      </x:c>
      <x:c r="H63" s="19" t="str">
        <x:v>미정</x:v>
      </x:c>
      <x:c r="I63" s="25"/>
      <x:c r="J63" s="25"/>
      <x:c r="K63" s="19" t="str"/>
      <x:c r="L63" s="19" t="str">
        <x:v>건강 / 소독필요 / 케어박스</x:v>
      </x:c>
      <x:c r="M63" s="19" t="str"/>
    </x:row>
    <x:row r="64" ht="24" customHeight="1">
      <x:c r="A64" s="18" t="n">
        <x:f>IF(C64="","",COUNTA($C$10:C64))</x:f>
        <x:v>55</x:v>
      </x:c>
      <x:c r="B64" s="20" t="str">
        <x:v>07 위생</x:v>
      </x:c>
      <x:c r="C64" s="18" t="str">
        <x:v>아기 로션/크림</x:v>
      </x:c>
      <x:c r="D64" s="18" t="str"/>
      <x:c r="E64" s="22" t="n">
        <x:v>1</x:v>
      </x:c>
      <x:c r="F64" s="18" t="str">
        <x:v>필수</x:v>
      </x:c>
      <x:c r="G64" s="18" t="str">
        <x:v>출산 전</x:v>
      </x:c>
      <x:c r="H64" s="18" t="str">
        <x:v>미정</x:v>
      </x:c>
      <x:c r="I64" s="24"/>
      <x:c r="J64" s="24"/>
      <x:c r="K64" s="18" t="str"/>
      <x:c r="L64" s="18" t="str">
        <x:v>보습 / 케어박스</x:v>
      </x:c>
      <x:c r="M64" s="18" t="str"/>
    </x:row>
    <x:row r="65" ht="24" customHeight="1">
      <x:c r="A65" s="19" t="n">
        <x:f>IF(C65="","",COUNTA($C$10:C65))</x:f>
        <x:v>56</x:v>
      </x:c>
      <x:c r="B65" s="21" t="str">
        <x:v>07 위생</x:v>
      </x:c>
      <x:c r="C65" s="19" t="str">
        <x:v>손소독제</x:v>
      </x:c>
      <x:c r="D65" s="19" t="str"/>
      <x:c r="E65" s="23" t="n">
        <x:v>1</x:v>
      </x:c>
      <x:c r="F65" s="19" t="str">
        <x:v>추천</x:v>
      </x:c>
      <x:c r="G65" s="19" t="str">
        <x:v>출산 전</x:v>
      </x:c>
      <x:c r="H65" s="19" t="str">
        <x:v>미정</x:v>
      </x:c>
      <x:c r="I65" s="25"/>
      <x:c r="J65" s="25"/>
      <x:c r="K65" s="19" t="str"/>
      <x:c r="L65" s="19" t="str">
        <x:v>보습 / 거실</x:v>
      </x:c>
      <x:c r="M65" s="19" t="str"/>
    </x:row>
    <x:row r="66" ht="24" customHeight="1">
      <x:c r="A66" s="18" t="n">
        <x:f>IF(C66="","",COUNTA($C$10:C66))</x:f>
        <x:v>57</x:v>
      </x:c>
      <x:c r="B66" s="20" t="str">
        <x:v>08 목욕</x:v>
      </x:c>
      <x:c r="C66" s="18" t="str">
        <x:v>아기욕조</x:v>
      </x:c>
      <x:c r="D66" s="18" t="str"/>
      <x:c r="E66" s="22" t="n">
        <x:v>1</x:v>
      </x:c>
      <x:c r="F66" s="18" t="str">
        <x:v>필수</x:v>
      </x:c>
      <x:c r="G66" s="18" t="str">
        <x:v>출산 전</x:v>
      </x:c>
      <x:c r="H66" s="18" t="str">
        <x:v>미정</x:v>
      </x:c>
      <x:c r="I66" s="24"/>
      <x:c r="J66" s="24"/>
      <x:c r="K66" s="18" t="str"/>
      <x:c r="L66" s="18" t="str">
        <x:v>욕조 / 세척필요 / 욕실</x:v>
      </x:c>
      <x:c r="M66" s="18" t="str"/>
    </x:row>
    <x:row r="67" ht="24" customHeight="1">
      <x:c r="A67" s="19" t="n">
        <x:f>IF(C67="","",COUNTA($C$10:C67))</x:f>
        <x:v>58</x:v>
      </x:c>
      <x:c r="B67" s="21" t="str">
        <x:v>08 목욕</x:v>
      </x:c>
      <x:c r="C67" s="19" t="str">
        <x:v>목욕타월</x:v>
      </x:c>
      <x:c r="D67" s="19" t="str"/>
      <x:c r="E67" s="23" t="n">
        <x:v>2</x:v>
      </x:c>
      <x:c r="F67" s="19" t="str">
        <x:v>필수</x:v>
      </x:c>
      <x:c r="G67" s="19" t="str">
        <x:v>출산 전</x:v>
      </x:c>
      <x:c r="H67" s="19" t="str">
        <x:v>미정</x:v>
      </x:c>
      <x:c r="I67" s="25"/>
      <x:c r="J67" s="25"/>
      <x:c r="K67" s="19" t="str"/>
      <x:c r="L67" s="19" t="str">
        <x:v>타월 / 세탁필요 / 욕실</x:v>
      </x:c>
      <x:c r="M67" s="19" t="str"/>
    </x:row>
    <x:row r="68" ht="24" customHeight="1">
      <x:c r="A68" s="18" t="n">
        <x:f>IF(C68="","",COUNTA($C$10:C68))</x:f>
        <x:v>59</x:v>
      </x:c>
      <x:c r="B68" s="20" t="str">
        <x:v>08 목욕</x:v>
      </x:c>
      <x:c r="C68" s="18" t="str">
        <x:v>거즈손수건</x:v>
      </x:c>
      <x:c r="D68" s="18" t="str"/>
      <x:c r="E68" s="22" t="n">
        <x:v>20</x:v>
      </x:c>
      <x:c r="F68" s="18" t="str">
        <x:v>필수</x:v>
      </x:c>
      <x:c r="G68" s="18" t="str">
        <x:v>출산 전</x:v>
      </x:c>
      <x:c r="H68" s="18" t="str">
        <x:v>미정</x:v>
      </x:c>
      <x:c r="I68" s="24"/>
      <x:c r="J68" s="24"/>
      <x:c r="K68" s="18" t="str"/>
      <x:c r="L68" s="18" t="str">
        <x:v>타월 / 세탁필요 / 욕실/수유존 / 수유, 목욕, 닦기 공용</x:v>
      </x:c>
      <x:c r="M68" s="18" t="str"/>
    </x:row>
    <x:row r="69" ht="24" customHeight="1">
      <x:c r="A69" s="19" t="n">
        <x:f>IF(C69="","",COUNTA($C$10:C69))</x:f>
        <x:v>60</x:v>
      </x:c>
      <x:c r="B69" s="21" t="str">
        <x:v>08 목욕</x:v>
      </x:c>
      <x:c r="C69" s="19" t="str">
        <x:v>아기 바스앤샴푸</x:v>
      </x:c>
      <x:c r="D69" s="19" t="str"/>
      <x:c r="E69" s="23" t="n">
        <x:v>1</x:v>
      </x:c>
      <x:c r="F69" s="19" t="str">
        <x:v>필수</x:v>
      </x:c>
      <x:c r="G69" s="19" t="str">
        <x:v>출산 전</x:v>
      </x:c>
      <x:c r="H69" s="19" t="str">
        <x:v>미정</x:v>
      </x:c>
      <x:c r="I69" s="25"/>
      <x:c r="J69" s="25"/>
      <x:c r="K69" s="19" t="str"/>
      <x:c r="L69" s="19" t="str">
        <x:v>세정 / 욕실</x:v>
      </x:c>
      <x:c r="M69" s="19" t="str"/>
    </x:row>
    <x:row r="70" ht="24" customHeight="1">
      <x:c r="A70" s="18" t="n">
        <x:f>IF(C70="","",COUNTA($C$10:C70))</x:f>
        <x:v>61</x:v>
      </x:c>
      <x:c r="B70" s="20" t="str">
        <x:v>08 목욕</x:v>
      </x:c>
      <x:c r="C70" s="18" t="str">
        <x:v>탕온계</x:v>
      </x:c>
      <x:c r="D70" s="18" t="str"/>
      <x:c r="E70" s="22" t="n">
        <x:v>1</x:v>
      </x:c>
      <x:c r="F70" s="18" t="str">
        <x:v>추천</x:v>
      </x:c>
      <x:c r="G70" s="18" t="str">
        <x:v>출산 전</x:v>
      </x:c>
      <x:c r="H70" s="18" t="str">
        <x:v>미정</x:v>
      </x:c>
      <x:c r="I70" s="24"/>
      <x:c r="J70" s="24"/>
      <x:c r="K70" s="18" t="str"/>
      <x:c r="L70" s="18" t="str">
        <x:v>온도 / 욕실</x:v>
      </x:c>
      <x:c r="M70" s="18" t="str"/>
    </x:row>
    <x:row r="71" ht="24" customHeight="1">
      <x:c r="A71" s="19" t="n">
        <x:f>IF(C71="","",COUNTA($C$10:C71))</x:f>
        <x:v>62</x:v>
      </x:c>
      <x:c r="B71" s="21" t="str">
        <x:v>08 목욕</x:v>
      </x:c>
      <x:c r="C71" s="19" t="str">
        <x:v>목욕 후 보습로션</x:v>
      </x:c>
      <x:c r="D71" s="19" t="str"/>
      <x:c r="E71" s="23" t="n">
        <x:v>1</x:v>
      </x:c>
      <x:c r="F71" s="19" t="str">
        <x:v>필수</x:v>
      </x:c>
      <x:c r="G71" s="19" t="str">
        <x:v>출산 전</x:v>
      </x:c>
      <x:c r="H71" s="19" t="str">
        <x:v>미정</x:v>
      </x:c>
      <x:c r="I71" s="25"/>
      <x:c r="J71" s="25"/>
      <x:c r="K71" s="19" t="str"/>
      <x:c r="L71" s="19" t="str">
        <x:v>보습 / 욕실</x:v>
      </x:c>
      <x:c r="M71" s="19" t="str"/>
    </x:row>
    <x:row r="72" ht="24" customHeight="1">
      <x:c r="A72" s="18" t="n">
        <x:f>IF(C72="","",COUNTA($C$10:C72))</x:f>
        <x:v>63</x:v>
      </x:c>
      <x:c r="B72" s="20" t="str">
        <x:v>08 목욕</x:v>
      </x:c>
      <x:c r="C72" s="18" t="str">
        <x:v>목욕의자</x:v>
      </x:c>
      <x:c r="D72" s="18" t="str"/>
      <x:c r="E72" s="22" t="n">
        <x:v>1</x:v>
      </x:c>
      <x:c r="F72" s="18" t="str">
        <x:v>선택</x:v>
      </x:c>
      <x:c r="G72" s="18" t="str">
        <x:v>생후 3-6개월</x:v>
      </x:c>
      <x:c r="H72" s="18" t="str">
        <x:v>미정</x:v>
      </x:c>
      <x:c r="I72" s="24"/>
      <x:c r="J72" s="24"/>
      <x:c r="K72" s="18" t="str"/>
      <x:c r="L72" s="18" t="str">
        <x:v>보조 / 세척필요 / 욕실 / 목 가눔 이후</x:v>
      </x:c>
      <x:c r="M72" s="18" t="str"/>
    </x:row>
    <x:row r="73" ht="24" customHeight="1">
      <x:c r="A73" s="19" t="n">
        <x:f>IF(C73="","",COUNTA($C$10:C73))</x:f>
        <x:v>64</x:v>
      </x:c>
      <x:c r="B73" s="21" t="str">
        <x:v>09 외출</x:v>
      </x:c>
      <x:c r="C73" s="19" t="str">
        <x:v>유모차</x:v>
      </x:c>
      <x:c r="D73" s="19" t="str"/>
      <x:c r="E73" s="23" t="n">
        <x:v>1</x:v>
      </x:c>
      <x:c r="F73" s="19" t="str">
        <x:v>추천</x:v>
      </x:c>
      <x:c r="G73" s="19" t="str">
        <x:v>생후 0-1개월</x:v>
      </x:c>
      <x:c r="H73" s="19" t="str">
        <x:v>미정</x:v>
      </x:c>
      <x:c r="I73" s="25"/>
      <x:c r="J73" s="25"/>
      <x:c r="K73" s="19" t="str"/>
      <x:c r="L73" s="19" t="str">
        <x:v>이동 / 현관</x:v>
      </x:c>
      <x:c r="M73" s="19" t="str"/>
    </x:row>
    <x:row r="74" ht="24" customHeight="1">
      <x:c r="A74" s="18" t="n">
        <x:f>IF(C74="","",COUNTA($C$10:C74))</x:f>
        <x:v>65</x:v>
      </x:c>
      <x:c r="B74" s="20" t="str">
        <x:v>09 외출</x:v>
      </x:c>
      <x:c r="C74" s="18" t="str">
        <x:v>카시트</x:v>
      </x:c>
      <x:c r="D74" s="18" t="str"/>
      <x:c r="E74" s="22" t="n">
        <x:v>1</x:v>
      </x:c>
      <x:c r="F74" s="18" t="str">
        <x:v>필수</x:v>
      </x:c>
      <x:c r="G74" s="18" t="str">
        <x:v>퇴원 전</x:v>
      </x:c>
      <x:c r="H74" s="18" t="str">
        <x:v>미정</x:v>
      </x:c>
      <x:c r="I74" s="24"/>
      <x:c r="J74" s="24"/>
      <x:c r="K74" s="18" t="str"/>
      <x:c r="L74" s="18" t="str">
        <x:v>이동 / 차량</x:v>
      </x:c>
      <x:c r="M74" s="18" t="str"/>
    </x:row>
    <x:row r="75" ht="24" customHeight="1">
      <x:c r="A75" s="19" t="n">
        <x:f>IF(C75="","",COUNTA($C$10:C75))</x:f>
        <x:v>66</x:v>
      </x:c>
      <x:c r="B75" s="21" t="str">
        <x:v>09 외출</x:v>
      </x:c>
      <x:c r="C75" s="19" t="str">
        <x:v>아기띠</x:v>
      </x:c>
      <x:c r="D75" s="19" t="str"/>
      <x:c r="E75" s="23" t="n">
        <x:v>1</x:v>
      </x:c>
      <x:c r="F75" s="19" t="str">
        <x:v>추천</x:v>
      </x:c>
      <x:c r="G75" s="19" t="str">
        <x:v>생후 0-1개월</x:v>
      </x:c>
      <x:c r="H75" s="19" t="str">
        <x:v>미정</x:v>
      </x:c>
      <x:c r="I75" s="25"/>
      <x:c r="J75" s="25"/>
      <x:c r="K75" s="19" t="str"/>
      <x:c r="L75" s="19" t="str">
        <x:v>이동 / 현관</x:v>
      </x:c>
      <x:c r="M75" s="19" t="str"/>
    </x:row>
    <x:row r="76" ht="24" customHeight="1">
      <x:c r="A76" s="18" t="n">
        <x:f>IF(C76="","",COUNTA($C$10:C76))</x:f>
        <x:v>67</x:v>
      </x:c>
      <x:c r="B76" s="20" t="str">
        <x:v>09 외출</x:v>
      </x:c>
      <x:c r="C76" s="18" t="str">
        <x:v>기저귀가방</x:v>
      </x:c>
      <x:c r="D76" s="18" t="str"/>
      <x:c r="E76" s="22" t="n">
        <x:v>1</x:v>
      </x:c>
      <x:c r="F76" s="18" t="str">
        <x:v>추천</x:v>
      </x:c>
      <x:c r="G76" s="18" t="str">
        <x:v>퇴원 전</x:v>
      </x:c>
      <x:c r="H76" s="18" t="str">
        <x:v>미정</x:v>
      </x:c>
      <x:c r="I76" s="24"/>
      <x:c r="J76" s="24"/>
      <x:c r="K76" s="18" t="str"/>
      <x:c r="L76" s="18" t="str">
        <x:v>수납 / 현관</x:v>
      </x:c>
      <x:c r="M76" s="18" t="str"/>
    </x:row>
    <x:row r="77" ht="24" customHeight="1">
      <x:c r="A77" s="19" t="n">
        <x:f>IF(C77="","",COUNTA($C$10:C77))</x:f>
        <x:v>68</x:v>
      </x:c>
      <x:c r="B77" s="21" t="str">
        <x:v>09 외출</x:v>
      </x:c>
      <x:c r="C77" s="19" t="str">
        <x:v>휴대용 기저귀패드</x:v>
      </x:c>
      <x:c r="D77" s="19" t="str"/>
      <x:c r="E77" s="23" t="n">
        <x:v>1</x:v>
      </x:c>
      <x:c r="F77" s="19" t="str">
        <x:v>추천</x:v>
      </x:c>
      <x:c r="G77" s="19" t="str">
        <x:v>생후 0-1개월</x:v>
      </x:c>
      <x:c r="H77" s="19" t="str">
        <x:v>미정</x:v>
      </x:c>
      <x:c r="I77" s="25"/>
      <x:c r="J77" s="25"/>
      <x:c r="K77" s="19" t="str"/>
      <x:c r="L77" s="19" t="str">
        <x:v>수납 / 기저귀가방</x:v>
      </x:c>
      <x:c r="M77" s="19" t="str"/>
    </x:row>
    <x:row r="78" ht="24" customHeight="1">
      <x:c r="A78" s="18" t="n">
        <x:f>IF(C78="","",COUNTA($C$10:C78))</x:f>
        <x:v>69</x:v>
      </x:c>
      <x:c r="B78" s="20" t="str">
        <x:v>09 외출</x:v>
      </x:c>
      <x:c r="C78" s="18" t="str">
        <x:v>유모차 방풍/방수커버</x:v>
      </x:c>
      <x:c r="D78" s="18" t="str"/>
      <x:c r="E78" s="22" t="n">
        <x:v>1</x:v>
      </x:c>
      <x:c r="F78" s="18" t="str">
        <x:v>계절/상황별</x:v>
      </x:c>
      <x:c r="G78" s="18" t="str">
        <x:v>계절별</x:v>
      </x:c>
      <x:c r="H78" s="18" t="str">
        <x:v>미정</x:v>
      </x:c>
      <x:c r="I78" s="24"/>
      <x:c r="J78" s="24"/>
      <x:c r="K78" s="18" t="str"/>
      <x:c r="L78" s="18" t="str">
        <x:v>계절 / 현관</x:v>
      </x:c>
      <x:c r="M78" s="18" t="str"/>
    </x:row>
    <x:row r="79" ht="24" customHeight="1">
      <x:c r="A79" s="19" t="n">
        <x:f>IF(C79="","",COUNTA($C$10:C79))</x:f>
        <x:v>70</x:v>
      </x:c>
      <x:c r="B79" s="21" t="str">
        <x:v>09 외출</x:v>
      </x:c>
      <x:c r="C79" s="19" t="str">
        <x:v>햇빛가리개/쿨시트</x:v>
      </x:c>
      <x:c r="D79" s="19" t="str"/>
      <x:c r="E79" s="23" t="n">
        <x:v>1</x:v>
      </x:c>
      <x:c r="F79" s="19" t="str">
        <x:v>계절/상황별</x:v>
      </x:c>
      <x:c r="G79" s="19" t="str">
        <x:v>계절별</x:v>
      </x:c>
      <x:c r="H79" s="19" t="str">
        <x:v>미정</x:v>
      </x:c>
      <x:c r="I79" s="25"/>
      <x:c r="J79" s="25"/>
      <x:c r="K79" s="19" t="str"/>
      <x:c r="L79" s="19" t="str">
        <x:v>계절 / 현관</x:v>
      </x:c>
      <x:c r="M79" s="19" t="str"/>
    </x:row>
    <x:row r="80" ht="24" customHeight="1">
      <x:c r="A80" s="18" t="n">
        <x:f>IF(C80="","",COUNTA($C$10:C80))</x:f>
        <x:v>71</x:v>
      </x:c>
      <x:c r="B80" s="20" t="str">
        <x:v>09 외출</x:v>
      </x:c>
      <x:c r="C80" s="18" t="str">
        <x:v>보냉백</x:v>
      </x:c>
      <x:c r="D80" s="18" t="str"/>
      <x:c r="E80" s="22" t="n">
        <x:v>1</x:v>
      </x:c>
      <x:c r="F80" s="18" t="str">
        <x:v>선택</x:v>
      </x:c>
      <x:c r="G80" s="18" t="str">
        <x:v>생후 0-1개월</x:v>
      </x:c>
      <x:c r="H80" s="18" t="str">
        <x:v>미정</x:v>
      </x:c>
      <x:c r="I80" s="24"/>
      <x:c r="J80" s="24"/>
      <x:c r="K80" s="18" t="str"/>
      <x:c r="L80" s="18" t="str">
        <x:v>수유 / 기저귀가방 / 분유/모유 외출용</x:v>
      </x:c>
      <x:c r="M80" s="18" t="str"/>
    </x:row>
    <x:row r="81" ht="24" customHeight="1">
      <x:c r="A81" s="19" t="n">
        <x:f>IF(C81="","",COUNTA($C$10:C81))</x:f>
        <x:v>72</x:v>
      </x:c>
      <x:c r="B81" s="21" t="str">
        <x:v>09 외출</x:v>
      </x:c>
      <x:c r="C81" s="19" t="str">
        <x:v>휴대용 물티슈 케이스</x:v>
      </x:c>
      <x:c r="D81" s="19" t="str"/>
      <x:c r="E81" s="23" t="n">
        <x:v>1</x:v>
      </x:c>
      <x:c r="F81" s="19" t="str">
        <x:v>선택</x:v>
      </x:c>
      <x:c r="G81" s="19" t="str">
        <x:v>생후 0-1개월</x:v>
      </x:c>
      <x:c r="H81" s="19" t="str">
        <x:v>미정</x:v>
      </x:c>
      <x:c r="I81" s="25"/>
      <x:c r="J81" s="25"/>
      <x:c r="K81" s="19" t="str"/>
      <x:c r="L81" s="19" t="str">
        <x:v>수납 / 기저귀가방</x:v>
      </x:c>
      <x:c r="M81" s="19" t="str"/>
    </x:row>
    <x:row r="82" ht="24" customHeight="1">
      <x:c r="A82" s="18" t="n">
        <x:f>IF(C82="","",COUNTA($C$10:C82))</x:f>
        <x:v>73</x:v>
      </x:c>
      <x:c r="B82" s="20" t="str">
        <x:v>10 장난감</x:v>
      </x:c>
      <x:c r="C82" s="18" t="str">
        <x:v>흑백모빌</x:v>
      </x:c>
      <x:c r="D82" s="18" t="str"/>
      <x:c r="E82" s="22" t="n">
        <x:v>1</x:v>
      </x:c>
      <x:c r="F82" s="18" t="str">
        <x:v>추천</x:v>
      </x:c>
      <x:c r="G82" s="18" t="str">
        <x:v>생후 0-1개월</x:v>
      </x:c>
      <x:c r="H82" s="18" t="str">
        <x:v>미정</x:v>
      </x:c>
      <x:c r="I82" s="24"/>
      <x:c r="J82" s="24"/>
      <x:c r="K82" s="18" t="str"/>
      <x:c r="L82" s="18" t="str">
        <x:v>신생아 / 아기방</x:v>
      </x:c>
      <x:c r="M82" s="18" t="str"/>
    </x:row>
    <x:row r="83" ht="24" customHeight="1">
      <x:c r="A83" s="19" t="n">
        <x:f>IF(C83="","",COUNTA($C$10:C83))</x:f>
        <x:v>74</x:v>
      </x:c>
      <x:c r="B83" s="21" t="str">
        <x:v>10 장난감</x:v>
      </x:c>
      <x:c r="C83" s="19" t="str">
        <x:v>딸랑이</x:v>
      </x:c>
      <x:c r="D83" s="19" t="str"/>
      <x:c r="E83" s="23" t="n">
        <x:v>1</x:v>
      </x:c>
      <x:c r="F83" s="19" t="str">
        <x:v>추천</x:v>
      </x:c>
      <x:c r="G83" s="19" t="str">
        <x:v>생후 1-3개월</x:v>
      </x:c>
      <x:c r="H83" s="19" t="str">
        <x:v>미정</x:v>
      </x:c>
      <x:c r="I83" s="25"/>
      <x:c r="J83" s="25"/>
      <x:c r="K83" s="19" t="str"/>
      <x:c r="L83" s="19" t="str">
        <x:v>신생아 / 소독필요 / 놀이박스</x:v>
      </x:c>
      <x:c r="M83" s="19" t="str"/>
    </x:row>
    <x:row r="84" ht="24" customHeight="1">
      <x:c r="A84" s="18" t="n">
        <x:f>IF(C84="","",COUNTA($C$10:C84))</x:f>
        <x:v>75</x:v>
      </x:c>
      <x:c r="B84" s="20" t="str">
        <x:v>10 장난감</x:v>
      </x:c>
      <x:c r="C84" s="18" t="str">
        <x:v>치발기</x:v>
      </x:c>
      <x:c r="D84" s="18" t="str"/>
      <x:c r="E84" s="22" t="n">
        <x:v>1</x:v>
      </x:c>
      <x:c r="F84" s="18" t="str">
        <x:v>추천</x:v>
      </x:c>
      <x:c r="G84" s="18" t="str">
        <x:v>생후 3-6개월</x:v>
      </x:c>
      <x:c r="H84" s="18" t="str">
        <x:v>미정</x:v>
      </x:c>
      <x:c r="I84" s="24"/>
      <x:c r="J84" s="24"/>
      <x:c r="K84" s="18" t="str"/>
      <x:c r="L84" s="18" t="str">
        <x:v>구강기 / 소독필요 / 놀이박스</x:v>
      </x:c>
      <x:c r="M84" s="18" t="str"/>
    </x:row>
    <x:row r="85" ht="24" customHeight="1">
      <x:c r="A85" s="19" t="n">
        <x:f>IF(C85="","",COUNTA($C$10:C85))</x:f>
        <x:v>76</x:v>
      </x:c>
      <x:c r="B85" s="21" t="str">
        <x:v>10 장난감</x:v>
      </x:c>
      <x:c r="C85" s="19" t="str">
        <x:v>아기체육관</x:v>
      </x:c>
      <x:c r="D85" s="19" t="str"/>
      <x:c r="E85" s="23" t="n">
        <x:v>1</x:v>
      </x:c>
      <x:c r="F85" s="19" t="str">
        <x:v>선택</x:v>
      </x:c>
      <x:c r="G85" s="19" t="str">
        <x:v>생후 1-3개월</x:v>
      </x:c>
      <x:c r="H85" s="19" t="str">
        <x:v>미정</x:v>
      </x:c>
      <x:c r="I85" s="25"/>
      <x:c r="J85" s="25"/>
      <x:c r="K85" s="19" t="str"/>
      <x:c r="L85" s="19" t="str">
        <x:v>놀이 / 거실</x:v>
      </x:c>
      <x:c r="M85" s="19" t="str"/>
    </x:row>
    <x:row r="86" ht="24" customHeight="1">
      <x:c r="A86" s="18" t="n">
        <x:f>IF(C86="","",COUNTA($C$10:C86))</x:f>
        <x:v>77</x:v>
      </x:c>
      <x:c r="B86" s="20" t="str">
        <x:v>10 장난감</x:v>
      </x:c>
      <x:c r="C86" s="18" t="str">
        <x:v>촉감놀이 장난감</x:v>
      </x:c>
      <x:c r="D86" s="18" t="str"/>
      <x:c r="E86" s="22" t="n">
        <x:v>1</x:v>
      </x:c>
      <x:c r="F86" s="18" t="str">
        <x:v>선택</x:v>
      </x:c>
      <x:c r="G86" s="18" t="str">
        <x:v>생후 3-6개월</x:v>
      </x:c>
      <x:c r="H86" s="18" t="str">
        <x:v>미정</x:v>
      </x:c>
      <x:c r="I86" s="24"/>
      <x:c r="J86" s="24"/>
      <x:c r="K86" s="18" t="str"/>
      <x:c r="L86" s="18" t="str">
        <x:v>놀이 / 소독필요 / 놀이박스</x:v>
      </x:c>
      <x:c r="M86" s="18" t="str"/>
    </x:row>
    <x:row r="87" ht="24" customHeight="1">
      <x:c r="A87" s="19" t="n">
        <x:f>IF(C87="","",COUNTA($C$10:C87))</x:f>
        <x:v>78</x:v>
      </x:c>
      <x:c r="B87" s="21" t="str">
        <x:v>10 장난감</x:v>
      </x:c>
      <x:c r="C87" s="19" t="str">
        <x:v>헝겊책/소프트토이</x:v>
      </x:c>
      <x:c r="D87" s="19" t="str"/>
      <x:c r="E87" s="23" t="n">
        <x:v>1</x:v>
      </x:c>
      <x:c r="F87" s="19" t="str">
        <x:v>선택</x:v>
      </x:c>
      <x:c r="G87" s="19" t="str">
        <x:v>생후 3-6개월</x:v>
      </x:c>
      <x:c r="H87" s="19" t="str">
        <x:v>미정</x:v>
      </x:c>
      <x:c r="I87" s="25"/>
      <x:c r="J87" s="25"/>
      <x:c r="K87" s="19" t="str"/>
      <x:c r="L87" s="19" t="str">
        <x:v>놀이 / 세탁필요 / 놀이박스</x:v>
      </x:c>
      <x:c r="M87" s="19" t="str"/>
    </x:row>
    <x:row r="88" ht="24" customHeight="1">
      <x:c r="A88" s="18" t="n">
        <x:f>IF(C88="","",COUNTA($C$10:C88))</x:f>
        <x:v>79</x:v>
      </x:c>
      <x:c r="B88" s="20" t="str">
        <x:v>11 책/미디어</x:v>
      </x:c>
      <x:c r="C88" s="18" t="str">
        <x:v>초점책</x:v>
      </x:c>
      <x:c r="D88" s="18" t="str"/>
      <x:c r="E88" s="22" t="n">
        <x:v>1</x:v>
      </x:c>
      <x:c r="F88" s="18" t="str">
        <x:v>추천</x:v>
      </x:c>
      <x:c r="G88" s="18" t="str">
        <x:v>생후 0-1개월</x:v>
      </x:c>
      <x:c r="H88" s="18" t="str">
        <x:v>미정</x:v>
      </x:c>
      <x:c r="I88" s="24"/>
      <x:c r="J88" s="24"/>
      <x:c r="K88" s="18" t="str"/>
      <x:c r="L88" s="18" t="str">
        <x:v>책 / 책장</x:v>
      </x:c>
      <x:c r="M88" s="18" t="str"/>
    </x:row>
    <x:row r="89" ht="24" customHeight="1">
      <x:c r="A89" s="19" t="n">
        <x:f>IF(C89="","",COUNTA($C$10:C89))</x:f>
        <x:v>80</x:v>
      </x:c>
      <x:c r="B89" s="21" t="str">
        <x:v>11 책/미디어</x:v>
      </x:c>
      <x:c r="C89" s="19" t="str">
        <x:v>보드북</x:v>
      </x:c>
      <x:c r="D89" s="19" t="str"/>
      <x:c r="E89" s="23" t="n">
        <x:v>3</x:v>
      </x:c>
      <x:c r="F89" s="19" t="str">
        <x:v>선택</x:v>
      </x:c>
      <x:c r="G89" s="19" t="str">
        <x:v>생후 3-6개월</x:v>
      </x:c>
      <x:c r="H89" s="19" t="str">
        <x:v>미정</x:v>
      </x:c>
      <x:c r="I89" s="25"/>
      <x:c r="J89" s="25"/>
      <x:c r="K89" s="19" t="str"/>
      <x:c r="L89" s="19" t="str">
        <x:v>책 / 책장</x:v>
      </x:c>
      <x:c r="M89" s="19" t="str"/>
    </x:row>
    <x:row r="90" ht="24" customHeight="1">
      <x:c r="A90" s="18" t="n">
        <x:f>IF(C90="","",COUNTA($C$10:C90))</x:f>
        <x:v>81</x:v>
      </x:c>
      <x:c r="B90" s="20" t="str">
        <x:v>11 책/미디어</x:v>
      </x:c>
      <x:c r="C90" s="18" t="str">
        <x:v>사운드북</x:v>
      </x:c>
      <x:c r="D90" s="18" t="str"/>
      <x:c r="E90" s="22" t="n">
        <x:v>1</x:v>
      </x:c>
      <x:c r="F90" s="18" t="str">
        <x:v>선택</x:v>
      </x:c>
      <x:c r="G90" s="18" t="str">
        <x:v>생후 3-6개월</x:v>
      </x:c>
      <x:c r="H90" s="18" t="str">
        <x:v>미정</x:v>
      </x:c>
      <x:c r="I90" s="24"/>
      <x:c r="J90" s="24"/>
      <x:c r="K90" s="18" t="str"/>
      <x:c r="L90" s="18" t="str">
        <x:v>소리 / 책장</x:v>
      </x:c>
      <x:c r="M90" s="18" t="str"/>
    </x:row>
    <x:row r="91" ht="24" customHeight="1">
      <x:c r="A91" s="19" t="n">
        <x:f>IF(C91="","",COUNTA($C$10:C91))</x:f>
        <x:v>82</x:v>
      </x:c>
      <x:c r="B91" s="21" t="str">
        <x:v>11 책/미디어</x:v>
      </x:c>
      <x:c r="C91" s="19" t="str">
        <x:v>육아 앱/성장기록</x:v>
      </x:c>
      <x:c r="D91" s="19" t="str"/>
      <x:c r="E91" s="23" t="n">
        <x:v>1</x:v>
      </x:c>
      <x:c r="F91" s="19" t="str">
        <x:v>추천</x:v>
      </x:c>
      <x:c r="G91" s="19" t="str">
        <x:v>출산 전</x:v>
      </x:c>
      <x:c r="H91" s="19" t="str">
        <x:v>미정</x:v>
      </x:c>
      <x:c r="I91" s="25"/>
      <x:c r="J91" s="25"/>
      <x:c r="K91" s="19" t="str"/>
      <x:c r="L91" s="19" t="str">
        <x:v>기록 / 휴대폰 / 수유, 수면, 배변 기록</x:v>
      </x:c>
      <x:c r="M91" s="19" t="str"/>
    </x:row>
    <x:row r="92" ht="24" customHeight="1">
      <x:c r="A92" s="18" t="n">
        <x:f>IF(C92="","",COUNTA($C$10:C92))</x:f>
        <x:v>83</x:v>
      </x:c>
      <x:c r="B92" s="20" t="str">
        <x:v>11 책/미디어</x:v>
      </x:c>
      <x:c r="C92" s="18" t="str">
        <x:v>사진/영상 백업 공간</x:v>
      </x:c>
      <x:c r="D92" s="18" t="str"/>
      <x:c r="E92" s="22" t="n">
        <x:v>1</x:v>
      </x:c>
      <x:c r="F92" s="18" t="str">
        <x:v>추천</x:v>
      </x:c>
      <x:c r="G92" s="18" t="str">
        <x:v>출산 전</x:v>
      </x:c>
      <x:c r="H92" s="18" t="str">
        <x:v>미정</x:v>
      </x:c>
      <x:c r="I92" s="24"/>
      <x:c r="J92" s="24"/>
      <x:c r="K92" s="18" t="str"/>
      <x:c r="L92" s="18" t="str">
        <x:v>기록 / 클라우드</x:v>
      </x:c>
      <x:c r="M92" s="18" t="str"/>
    </x:row>
    <x:row r="93" ht="24" customHeight="1">
      <x:c r="A93" s="19" t="str">
        <x:f>IF(C93="","",COUNTA($C$10:C93))</x:f>
      </x:c>
      <x:c r="B93" s="21"/>
      <x:c r="C93" s="19"/>
      <x:c r="D93" s="19"/>
      <x:c r="E93" s="23"/>
      <x:c r="F93" s="19"/>
      <x:c r="G93" s="19"/>
      <x:c r="H93" s="19"/>
      <x:c r="I93" s="25"/>
      <x:c r="J93" s="25"/>
      <x:c r="K93" s="19"/>
      <x:c r="L93" s="19"/>
      <x:c r="M93" s="19"/>
    </x:row>
    <x:row r="94" ht="24" customHeight="1">
      <x:c r="A94" s="18" t="str">
        <x:f>IF(C94="","",COUNTA($C$10:C94))</x:f>
      </x:c>
      <x:c r="B94" s="20"/>
      <x:c r="C94" s="18"/>
      <x:c r="D94" s="18"/>
      <x:c r="E94" s="22"/>
      <x:c r="F94" s="18"/>
      <x:c r="G94" s="18"/>
      <x:c r="H94" s="18"/>
      <x:c r="I94" s="24"/>
      <x:c r="J94" s="24"/>
      <x:c r="K94" s="18"/>
      <x:c r="L94" s="18"/>
      <x:c r="M94" s="18"/>
    </x:row>
    <x:row r="95" ht="24" customHeight="1">
      <x:c r="A95" s="19" t="str">
        <x:f>IF(C95="","",COUNTA($C$10:C95))</x:f>
      </x:c>
      <x:c r="B95" s="21"/>
      <x:c r="C95" s="19"/>
      <x:c r="D95" s="19"/>
      <x:c r="E95" s="23"/>
      <x:c r="F95" s="19"/>
      <x:c r="G95" s="19"/>
      <x:c r="H95" s="19"/>
      <x:c r="I95" s="25"/>
      <x:c r="J95" s="25"/>
      <x:c r="K95" s="19"/>
      <x:c r="L95" s="19"/>
      <x:c r="M95" s="19"/>
    </x:row>
    <x:row r="96" ht="24" customHeight="1">
      <x:c r="A96" s="18" t="str">
        <x:f>IF(C96="","",COUNTA($C$10:C96))</x:f>
      </x:c>
      <x:c r="B96" s="20"/>
      <x:c r="C96" s="18"/>
      <x:c r="D96" s="18"/>
      <x:c r="E96" s="22"/>
      <x:c r="F96" s="18"/>
      <x:c r="G96" s="18"/>
      <x:c r="H96" s="18"/>
      <x:c r="I96" s="24"/>
      <x:c r="J96" s="24"/>
      <x:c r="K96" s="18"/>
      <x:c r="L96" s="18"/>
      <x:c r="M96" s="18"/>
    </x:row>
    <x:row r="97" ht="24" customHeight="1">
      <x:c r="A97" s="19" t="str">
        <x:f>IF(C97="","",COUNTA($C$10:C97))</x:f>
      </x:c>
      <x:c r="B97" s="21"/>
      <x:c r="C97" s="19"/>
      <x:c r="D97" s="19"/>
      <x:c r="E97" s="23"/>
      <x:c r="F97" s="19"/>
      <x:c r="G97" s="19"/>
      <x:c r="H97" s="19"/>
      <x:c r="I97" s="25"/>
      <x:c r="J97" s="25"/>
      <x:c r="K97" s="19"/>
      <x:c r="L97" s="19"/>
      <x:c r="M97" s="19"/>
    </x:row>
    <x:row r="98" ht="24" customHeight="1">
      <x:c r="A98" s="18" t="str">
        <x:f>IF(C98="","",COUNTA($C$10:C98))</x:f>
      </x:c>
      <x:c r="B98" s="20"/>
      <x:c r="C98" s="18"/>
      <x:c r="D98" s="18"/>
      <x:c r="E98" s="22"/>
      <x:c r="F98" s="18"/>
      <x:c r="G98" s="18"/>
      <x:c r="H98" s="18"/>
      <x:c r="I98" s="24"/>
      <x:c r="J98" s="24"/>
      <x:c r="K98" s="18"/>
      <x:c r="L98" s="18"/>
      <x:c r="M98" s="18"/>
    </x:row>
    <x:row r="99" ht="24" customHeight="1">
      <x:c r="A99" s="19" t="str">
        <x:f>IF(C99="","",COUNTA($C$10:C99))</x:f>
      </x:c>
      <x:c r="B99" s="21"/>
      <x:c r="C99" s="19"/>
      <x:c r="D99" s="19"/>
      <x:c r="E99" s="23"/>
      <x:c r="F99" s="19"/>
      <x:c r="G99" s="19"/>
      <x:c r="H99" s="19"/>
      <x:c r="I99" s="25"/>
      <x:c r="J99" s="25"/>
      <x:c r="K99" s="19"/>
      <x:c r="L99" s="19"/>
      <x:c r="M99" s="19"/>
    </x:row>
    <x:row r="100" ht="24" customHeight="1">
      <x:c r="A100" s="18" t="str">
        <x:f>IF(C100="","",COUNTA($C$10:C100))</x:f>
      </x:c>
      <x:c r="B100" s="20"/>
      <x:c r="C100" s="18"/>
      <x:c r="D100" s="18"/>
      <x:c r="E100" s="22"/>
      <x:c r="F100" s="18"/>
      <x:c r="G100" s="18"/>
      <x:c r="H100" s="18"/>
      <x:c r="I100" s="24"/>
      <x:c r="J100" s="24"/>
      <x:c r="K100" s="18"/>
      <x:c r="L100" s="18"/>
      <x:c r="M100" s="18"/>
    </x:row>
    <x:row r="101" ht="24" customHeight="1">
      <x:c r="A101" s="19" t="str">
        <x:f>IF(C101="","",COUNTA($C$10:C101))</x:f>
      </x:c>
      <x:c r="B101" s="21"/>
      <x:c r="C101" s="19"/>
      <x:c r="D101" s="19"/>
      <x:c r="E101" s="23"/>
      <x:c r="F101" s="19"/>
      <x:c r="G101" s="19"/>
      <x:c r="H101" s="19"/>
      <x:c r="I101" s="25"/>
      <x:c r="J101" s="25"/>
      <x:c r="K101" s="19"/>
      <x:c r="L101" s="19"/>
      <x:c r="M101" s="19"/>
    </x:row>
    <x:row r="102" ht="24" customHeight="1">
      <x:c r="A102" s="18" t="str">
        <x:f>IF(C102="","",COUNTA($C$10:C102))</x:f>
      </x:c>
      <x:c r="B102" s="20"/>
      <x:c r="C102" s="18"/>
      <x:c r="D102" s="18"/>
      <x:c r="E102" s="22"/>
      <x:c r="F102" s="18"/>
      <x:c r="G102" s="18"/>
      <x:c r="H102" s="18"/>
      <x:c r="I102" s="24"/>
      <x:c r="J102" s="24"/>
      <x:c r="K102" s="18"/>
      <x:c r="L102" s="18"/>
      <x:c r="M102" s="18"/>
    </x:row>
    <x:row r="103" ht="24" customHeight="1">
      <x:c r="A103" s="19" t="str">
        <x:f>IF(C103="","",COUNTA($C$10:C103))</x:f>
      </x:c>
      <x:c r="B103" s="21"/>
      <x:c r="C103" s="19"/>
      <x:c r="D103" s="19"/>
      <x:c r="E103" s="23"/>
      <x:c r="F103" s="19"/>
      <x:c r="G103" s="19"/>
      <x:c r="H103" s="19"/>
      <x:c r="I103" s="25"/>
      <x:c r="J103" s="25"/>
      <x:c r="K103" s="19"/>
      <x:c r="L103" s="19"/>
      <x:c r="M103" s="19"/>
    </x:row>
    <x:row r="104" ht="24" customHeight="1">
      <x:c r="A104" s="18" t="str">
        <x:f>IF(C104="","",COUNTA($C$10:C104))</x:f>
      </x:c>
      <x:c r="B104" s="20"/>
      <x:c r="C104" s="18"/>
      <x:c r="D104" s="18"/>
      <x:c r="E104" s="22"/>
      <x:c r="F104" s="18"/>
      <x:c r="G104" s="18"/>
      <x:c r="H104" s="18"/>
      <x:c r="I104" s="24"/>
      <x:c r="J104" s="24"/>
      <x:c r="K104" s="18"/>
      <x:c r="L104" s="18"/>
      <x:c r="M104" s="18"/>
    </x:row>
    <x:row r="105" ht="24" customHeight="1">
      <x:c r="A105" s="19" t="str">
        <x:f>IF(C105="","",COUNTA($C$10:C105))</x:f>
      </x:c>
      <x:c r="B105" s="21"/>
      <x:c r="C105" s="19"/>
      <x:c r="D105" s="19"/>
      <x:c r="E105" s="23"/>
      <x:c r="F105" s="19"/>
      <x:c r="G105" s="19"/>
      <x:c r="H105" s="19"/>
      <x:c r="I105" s="25"/>
      <x:c r="J105" s="25"/>
      <x:c r="K105" s="19"/>
      <x:c r="L105" s="19"/>
      <x:c r="M105" s="19"/>
    </x:row>
    <x:row r="106" ht="24" customHeight="1">
      <x:c r="A106" s="18" t="str">
        <x:f>IF(C106="","",COUNTA($C$10:C106))</x:f>
      </x:c>
      <x:c r="B106" s="20"/>
      <x:c r="C106" s="18"/>
      <x:c r="D106" s="18"/>
      <x:c r="E106" s="22"/>
      <x:c r="F106" s="18"/>
      <x:c r="G106" s="18"/>
      <x:c r="H106" s="18"/>
      <x:c r="I106" s="24"/>
      <x:c r="J106" s="24"/>
      <x:c r="K106" s="18"/>
      <x:c r="L106" s="18"/>
      <x:c r="M106" s="18"/>
    </x:row>
    <x:row r="107" ht="24" customHeight="1">
      <x:c r="A107" s="19" t="str">
        <x:f>IF(C107="","",COUNTA($C$10:C107))</x:f>
      </x:c>
      <x:c r="B107" s="21"/>
      <x:c r="C107" s="19"/>
      <x:c r="D107" s="19"/>
      <x:c r="E107" s="23"/>
      <x:c r="F107" s="19"/>
      <x:c r="G107" s="19"/>
      <x:c r="H107" s="19"/>
      <x:c r="I107" s="25"/>
      <x:c r="J107" s="25"/>
      <x:c r="K107" s="19"/>
      <x:c r="L107" s="19"/>
      <x:c r="M107" s="19"/>
    </x:row>
    <x:row r="108" ht="24" customHeight="1">
      <x:c r="A108" s="18" t="str">
        <x:f>IF(C108="","",COUNTA($C$10:C108))</x:f>
      </x:c>
      <x:c r="B108" s="20"/>
      <x:c r="C108" s="18"/>
      <x:c r="D108" s="18"/>
      <x:c r="E108" s="22"/>
      <x:c r="F108" s="18"/>
      <x:c r="G108" s="18"/>
      <x:c r="H108" s="18"/>
      <x:c r="I108" s="24"/>
      <x:c r="J108" s="24"/>
      <x:c r="K108" s="18"/>
      <x:c r="L108" s="18"/>
      <x:c r="M108" s="18"/>
    </x:row>
    <x:row r="109" ht="24" customHeight="1">
      <x:c r="A109" s="19" t="str">
        <x:f>IF(C109="","",COUNTA($C$10:C109))</x:f>
      </x:c>
      <x:c r="B109" s="21"/>
      <x:c r="C109" s="19"/>
      <x:c r="D109" s="19"/>
      <x:c r="E109" s="23"/>
      <x:c r="F109" s="19"/>
      <x:c r="G109" s="19"/>
      <x:c r="H109" s="19"/>
      <x:c r="I109" s="25"/>
      <x:c r="J109" s="25"/>
      <x:c r="K109" s="19"/>
      <x:c r="L109" s="19"/>
      <x:c r="M109" s="19"/>
    </x:row>
    <x:row r="110" ht="24" customHeight="1">
      <x:c r="A110" s="18" t="str">
        <x:f>IF(C110="","",COUNTA($C$10:C110))</x:f>
      </x:c>
      <x:c r="B110" s="20"/>
      <x:c r="C110" s="18"/>
      <x:c r="D110" s="18"/>
      <x:c r="E110" s="22"/>
      <x:c r="F110" s="18"/>
      <x:c r="G110" s="18"/>
      <x:c r="H110" s="18"/>
      <x:c r="I110" s="24"/>
      <x:c r="J110" s="24"/>
      <x:c r="K110" s="18"/>
      <x:c r="L110" s="18"/>
      <x:c r="M110" s="18"/>
    </x:row>
    <x:row r="111" ht="24" customHeight="1">
      <x:c r="A111" s="19" t="str">
        <x:f>IF(C111="","",COUNTA($C$10:C111))</x:f>
      </x:c>
      <x:c r="B111" s="21"/>
      <x:c r="C111" s="19"/>
      <x:c r="D111" s="19"/>
      <x:c r="E111" s="23"/>
      <x:c r="F111" s="19"/>
      <x:c r="G111" s="19"/>
      <x:c r="H111" s="19"/>
      <x:c r="I111" s="25"/>
      <x:c r="J111" s="25"/>
      <x:c r="K111" s="19"/>
      <x:c r="L111" s="19"/>
      <x:c r="M111" s="19"/>
    </x:row>
    <x:row r="112" ht="24" customHeight="1">
      <x:c r="A112" s="18" t="str">
        <x:f>IF(C112="","",COUNTA($C$10:C112))</x:f>
      </x:c>
      <x:c r="B112" s="20"/>
      <x:c r="C112" s="18"/>
      <x:c r="D112" s="18"/>
      <x:c r="E112" s="22"/>
      <x:c r="F112" s="18"/>
      <x:c r="G112" s="18"/>
      <x:c r="H112" s="18"/>
      <x:c r="I112" s="24"/>
      <x:c r="J112" s="24"/>
      <x:c r="K112" s="18"/>
      <x:c r="L112" s="18"/>
      <x:c r="M112" s="18"/>
    </x:row>
    <x:row r="113" ht="24" customHeight="1">
      <x:c r="A113" s="19" t="str">
        <x:f>IF(C113="","",COUNTA($C$10:C113))</x:f>
      </x:c>
      <x:c r="B113" s="21"/>
      <x:c r="C113" s="19"/>
      <x:c r="D113" s="19"/>
      <x:c r="E113" s="23"/>
      <x:c r="F113" s="19"/>
      <x:c r="G113" s="19"/>
      <x:c r="H113" s="19"/>
      <x:c r="I113" s="25"/>
      <x:c r="J113" s="25"/>
      <x:c r="K113" s="19"/>
      <x:c r="L113" s="19"/>
      <x:c r="M113" s="19"/>
    </x:row>
    <x:row r="114" ht="24" customHeight="1">
      <x:c r="A114" s="18" t="str">
        <x:f>IF(C114="","",COUNTA($C$10:C114))</x:f>
      </x:c>
      <x:c r="B114" s="20"/>
      <x:c r="C114" s="18"/>
      <x:c r="D114" s="18"/>
      <x:c r="E114" s="22"/>
      <x:c r="F114" s="18"/>
      <x:c r="G114" s="18"/>
      <x:c r="H114" s="18"/>
      <x:c r="I114" s="24"/>
      <x:c r="J114" s="24"/>
      <x:c r="K114" s="18"/>
      <x:c r="L114" s="18"/>
      <x:c r="M114" s="18"/>
    </x:row>
    <x:row r="115" ht="24" customHeight="1">
      <x:c r="A115" s="19" t="str">
        <x:f>IF(C115="","",COUNTA($C$10:C115))</x:f>
      </x:c>
      <x:c r="B115" s="21"/>
      <x:c r="C115" s="19"/>
      <x:c r="D115" s="19"/>
      <x:c r="E115" s="23"/>
      <x:c r="F115" s="19"/>
      <x:c r="G115" s="19"/>
      <x:c r="H115" s="19"/>
      <x:c r="I115" s="25"/>
      <x:c r="J115" s="25"/>
      <x:c r="K115" s="19"/>
      <x:c r="L115" s="19"/>
      <x:c r="M115" s="19"/>
    </x:row>
    <x:row r="116" ht="24" customHeight="1">
      <x:c r="A116" s="18" t="str">
        <x:f>IF(C116="","",COUNTA($C$10:C116))</x:f>
      </x:c>
      <x:c r="B116" s="20"/>
      <x:c r="C116" s="18"/>
      <x:c r="D116" s="18"/>
      <x:c r="E116" s="22"/>
      <x:c r="F116" s="18"/>
      <x:c r="G116" s="18"/>
      <x:c r="H116" s="18"/>
      <x:c r="I116" s="24"/>
      <x:c r="J116" s="24"/>
      <x:c r="K116" s="18"/>
      <x:c r="L116" s="18"/>
      <x:c r="M116" s="18"/>
    </x:row>
    <x:row r="117" ht="24" customHeight="1">
      <x:c r="A117" s="19" t="str">
        <x:f>IF(C117="","",COUNTA($C$10:C117))</x:f>
      </x:c>
      <x:c r="B117" s="21"/>
      <x:c r="C117" s="19"/>
      <x:c r="D117" s="19"/>
      <x:c r="E117" s="23"/>
      <x:c r="F117" s="19"/>
      <x:c r="G117" s="19"/>
      <x:c r="H117" s="19"/>
      <x:c r="I117" s="25"/>
      <x:c r="J117" s="25"/>
      <x:c r="K117" s="19"/>
      <x:c r="L117" s="19"/>
      <x:c r="M117" s="19"/>
    </x:row>
    <x:row r="118" ht="24" customHeight="1">
      <x:c r="A118" s="18" t="str">
        <x:f>IF(C118="","",COUNTA($C$10:C118))</x:f>
      </x:c>
      <x:c r="B118" s="20"/>
      <x:c r="C118" s="18"/>
      <x:c r="D118" s="18"/>
      <x:c r="E118" s="22"/>
      <x:c r="F118" s="18"/>
      <x:c r="G118" s="18"/>
      <x:c r="H118" s="18"/>
      <x:c r="I118" s="24"/>
      <x:c r="J118" s="24"/>
      <x:c r="K118" s="18"/>
      <x:c r="L118" s="18"/>
      <x:c r="M118" s="18"/>
    </x:row>
    <x:row r="119" ht="24" customHeight="1">
      <x:c r="A119" s="19" t="str">
        <x:f>IF(C119="","",COUNTA($C$10:C119))</x:f>
      </x:c>
      <x:c r="B119" s="21"/>
      <x:c r="C119" s="19"/>
      <x:c r="D119" s="19"/>
      <x:c r="E119" s="23"/>
      <x:c r="F119" s="19"/>
      <x:c r="G119" s="19"/>
      <x:c r="H119" s="19"/>
      <x:c r="I119" s="25"/>
      <x:c r="J119" s="25"/>
      <x:c r="K119" s="19"/>
      <x:c r="L119" s="19"/>
      <x:c r="M119" s="19"/>
    </x:row>
    <x:row r="120" ht="24" customHeight="1">
      <x:c r="A120" s="18" t="str">
        <x:f>IF(C120="","",COUNTA($C$10:C120))</x:f>
      </x:c>
      <x:c r="B120" s="20"/>
      <x:c r="C120" s="18"/>
      <x:c r="D120" s="18"/>
      <x:c r="E120" s="22"/>
      <x:c r="F120" s="18"/>
      <x:c r="G120" s="18"/>
      <x:c r="H120" s="18"/>
      <x:c r="I120" s="24"/>
      <x:c r="J120" s="24"/>
      <x:c r="K120" s="18"/>
      <x:c r="L120" s="18"/>
      <x:c r="M120" s="18"/>
    </x:row>
    <x:row r="121" ht="24" customHeight="1">
      <x:c r="A121" s="19" t="str">
        <x:f>IF(C121="","",COUNTA($C$10:C121))</x:f>
      </x:c>
      <x:c r="B121" s="21"/>
      <x:c r="C121" s="19"/>
      <x:c r="D121" s="19"/>
      <x:c r="E121" s="23"/>
      <x:c r="F121" s="19"/>
      <x:c r="G121" s="19"/>
      <x:c r="H121" s="19"/>
      <x:c r="I121" s="25"/>
      <x:c r="J121" s="25"/>
      <x:c r="K121" s="19"/>
      <x:c r="L121" s="19"/>
      <x:c r="M121" s="19"/>
    </x:row>
    <x:row r="122" ht="24" customHeight="1">
      <x:c r="A122" s="18" t="str">
        <x:f>IF(C122="","",COUNTA($C$10:C122))</x:f>
      </x:c>
      <x:c r="B122" s="20"/>
      <x:c r="C122" s="18"/>
      <x:c r="D122" s="18"/>
      <x:c r="E122" s="22"/>
      <x:c r="F122" s="18"/>
      <x:c r="G122" s="18"/>
      <x:c r="H122" s="18"/>
      <x:c r="I122" s="24"/>
      <x:c r="J122" s="24"/>
      <x:c r="K122" s="18"/>
      <x:c r="L122" s="18"/>
      <x:c r="M122" s="18"/>
    </x:row>
    <x:row r="123" ht="24" customHeight="1">
      <x:c r="A123" s="19" t="str">
        <x:f>IF(C123="","",COUNTA($C$10:C123))</x:f>
      </x:c>
      <x:c r="B123" s="21"/>
      <x:c r="C123" s="19"/>
      <x:c r="D123" s="19"/>
      <x:c r="E123" s="23"/>
      <x:c r="F123" s="19"/>
      <x:c r="G123" s="19"/>
      <x:c r="H123" s="19"/>
      <x:c r="I123" s="25"/>
      <x:c r="J123" s="25"/>
      <x:c r="K123" s="19"/>
      <x:c r="L123" s="19"/>
      <x:c r="M123" s="19"/>
    </x:row>
    <x:row r="124" ht="24" customHeight="1">
      <x:c r="A124" s="18" t="str">
        <x:f>IF(C124="","",COUNTA($C$10:C124))</x:f>
      </x:c>
      <x:c r="B124" s="20"/>
      <x:c r="C124" s="18"/>
      <x:c r="D124" s="18"/>
      <x:c r="E124" s="22"/>
      <x:c r="F124" s="18"/>
      <x:c r="G124" s="18"/>
      <x:c r="H124" s="18"/>
      <x:c r="I124" s="24"/>
      <x:c r="J124" s="24"/>
      <x:c r="K124" s="18"/>
      <x:c r="L124" s="18"/>
      <x:c r="M124" s="18"/>
    </x:row>
    <x:row r="125" ht="24" customHeight="1">
      <x:c r="A125" s="19" t="str">
        <x:f>IF(C125="","",COUNTA($C$10:C125))</x:f>
      </x:c>
      <x:c r="B125" s="21"/>
      <x:c r="C125" s="19"/>
      <x:c r="D125" s="19"/>
      <x:c r="E125" s="23"/>
      <x:c r="F125" s="19"/>
      <x:c r="G125" s="19"/>
      <x:c r="H125" s="19"/>
      <x:c r="I125" s="25"/>
      <x:c r="J125" s="25"/>
      <x:c r="K125" s="19"/>
      <x:c r="L125" s="19"/>
      <x:c r="M125" s="19"/>
    </x:row>
    <x:row r="126" ht="24" customHeight="1">
      <x:c r="A126" s="18" t="str">
        <x:f>IF(C126="","",COUNTA($C$10:C126))</x:f>
      </x:c>
      <x:c r="B126" s="20"/>
      <x:c r="C126" s="18"/>
      <x:c r="D126" s="18"/>
      <x:c r="E126" s="22"/>
      <x:c r="F126" s="18"/>
      <x:c r="G126" s="18"/>
      <x:c r="H126" s="18"/>
      <x:c r="I126" s="24"/>
      <x:c r="J126" s="24"/>
      <x:c r="K126" s="18"/>
      <x:c r="L126" s="18"/>
      <x:c r="M126" s="18"/>
    </x:row>
    <x:row r="127" ht="24" customHeight="1">
      <x:c r="A127" s="19" t="str">
        <x:f>IF(C127="","",COUNTA($C$10:C127))</x:f>
      </x:c>
      <x:c r="B127" s="21"/>
      <x:c r="C127" s="19"/>
      <x:c r="D127" s="19"/>
      <x:c r="E127" s="23"/>
      <x:c r="F127" s="19"/>
      <x:c r="G127" s="19"/>
      <x:c r="H127" s="19"/>
      <x:c r="I127" s="25"/>
      <x:c r="J127" s="25"/>
      <x:c r="K127" s="19"/>
      <x:c r="L127" s="19"/>
      <x:c r="M127" s="19"/>
    </x:row>
    <x:row r="128" ht="24" customHeight="1">
      <x:c r="A128" s="18" t="str">
        <x:f>IF(C128="","",COUNTA($C$10:C128))</x:f>
      </x:c>
      <x:c r="B128" s="20"/>
      <x:c r="C128" s="18"/>
      <x:c r="D128" s="18"/>
      <x:c r="E128" s="22"/>
      <x:c r="F128" s="18"/>
      <x:c r="G128" s="18"/>
      <x:c r="H128" s="18"/>
      <x:c r="I128" s="24"/>
      <x:c r="J128" s="24"/>
      <x:c r="K128" s="18"/>
      <x:c r="L128" s="18"/>
      <x:c r="M128" s="18"/>
    </x:row>
    <x:row r="129" ht="24" customHeight="1">
      <x:c r="A129" s="19" t="str">
        <x:f>IF(C129="","",COUNTA($C$10:C129))</x:f>
      </x:c>
      <x:c r="B129" s="21"/>
      <x:c r="C129" s="19"/>
      <x:c r="D129" s="19"/>
      <x:c r="E129" s="23"/>
      <x:c r="F129" s="19"/>
      <x:c r="G129" s="19"/>
      <x:c r="H129" s="19"/>
      <x:c r="I129" s="25"/>
      <x:c r="J129" s="25"/>
      <x:c r="K129" s="19"/>
      <x:c r="L129" s="19"/>
      <x:c r="M129" s="19"/>
    </x:row>
    <x:row r="130" ht="24" customHeight="1">
      <x:c r="A130" s="18" t="str">
        <x:f>IF(C130="","",COUNTA($C$10:C130))</x:f>
      </x:c>
      <x:c r="B130" s="20"/>
      <x:c r="C130" s="18"/>
      <x:c r="D130" s="18"/>
      <x:c r="E130" s="22"/>
      <x:c r="F130" s="18"/>
      <x:c r="G130" s="18"/>
      <x:c r="H130" s="18"/>
      <x:c r="I130" s="24"/>
      <x:c r="J130" s="24"/>
      <x:c r="K130" s="18"/>
      <x:c r="L130" s="18"/>
      <x:c r="M130" s="18"/>
    </x:row>
    <x:row r="131" ht="24" customHeight="1">
      <x:c r="A131" s="19" t="str">
        <x:f>IF(C131="","",COUNTA($C$10:C131))</x:f>
      </x:c>
      <x:c r="B131" s="21"/>
      <x:c r="C131" s="19"/>
      <x:c r="D131" s="19"/>
      <x:c r="E131" s="23"/>
      <x:c r="F131" s="19"/>
      <x:c r="G131" s="19"/>
      <x:c r="H131" s="19"/>
      <x:c r="I131" s="25"/>
      <x:c r="J131" s="25"/>
      <x:c r="K131" s="19"/>
      <x:c r="L131" s="19"/>
      <x:c r="M131" s="19"/>
    </x:row>
    <x:row r="132" ht="24" customHeight="1">
      <x:c r="A132" s="18" t="str">
        <x:f>IF(C132="","",COUNTA($C$10:C132))</x:f>
      </x:c>
      <x:c r="B132" s="20"/>
      <x:c r="C132" s="18"/>
      <x:c r="D132" s="18"/>
      <x:c r="E132" s="22"/>
      <x:c r="F132" s="18"/>
      <x:c r="G132" s="18"/>
      <x:c r="H132" s="18"/>
      <x:c r="I132" s="24"/>
      <x:c r="J132" s="24"/>
      <x:c r="K132" s="18"/>
      <x:c r="L132" s="18"/>
      <x:c r="M132" s="18"/>
    </x:row>
    <x:row r="133" ht="24" customHeight="1">
      <x:c r="A133" s="19" t="str">
        <x:f>IF(C133="","",COUNTA($C$10:C133))</x:f>
      </x:c>
      <x:c r="B133" s="21"/>
      <x:c r="C133" s="19"/>
      <x:c r="D133" s="19"/>
      <x:c r="E133" s="23"/>
      <x:c r="F133" s="19"/>
      <x:c r="G133" s="19"/>
      <x:c r="H133" s="19"/>
      <x:c r="I133" s="25"/>
      <x:c r="J133" s="25"/>
      <x:c r="K133" s="19"/>
      <x:c r="L133" s="19"/>
      <x:c r="M133" s="19"/>
    </x:row>
    <x:row r="134" ht="24" customHeight="1">
      <x:c r="A134" s="18" t="str">
        <x:f>IF(C134="","",COUNTA($C$10:C134))</x:f>
      </x:c>
      <x:c r="B134" s="20"/>
      <x:c r="C134" s="18"/>
      <x:c r="D134" s="18"/>
      <x:c r="E134" s="22"/>
      <x:c r="F134" s="18"/>
      <x:c r="G134" s="18"/>
      <x:c r="H134" s="18"/>
      <x:c r="I134" s="24"/>
      <x:c r="J134" s="24"/>
      <x:c r="K134" s="18"/>
      <x:c r="L134" s="18"/>
      <x:c r="M134" s="18"/>
    </x:row>
    <x:row r="135" ht="24" customHeight="1">
      <x:c r="A135" s="19" t="str">
        <x:f>IF(C135="","",COUNTA($C$10:C135))</x:f>
      </x:c>
      <x:c r="B135" s="21"/>
      <x:c r="C135" s="19"/>
      <x:c r="D135" s="19"/>
      <x:c r="E135" s="23"/>
      <x:c r="F135" s="19"/>
      <x:c r="G135" s="19"/>
      <x:c r="H135" s="19"/>
      <x:c r="I135" s="25"/>
      <x:c r="J135" s="25"/>
      <x:c r="K135" s="19"/>
      <x:c r="L135" s="19"/>
      <x:c r="M135" s="19"/>
    </x:row>
    <x:row r="136" ht="24" customHeight="1">
      <x:c r="A136" s="18" t="str">
        <x:f>IF(C136="","",COUNTA($C$10:C136))</x:f>
      </x:c>
      <x:c r="B136" s="20"/>
      <x:c r="C136" s="18"/>
      <x:c r="D136" s="18"/>
      <x:c r="E136" s="22"/>
      <x:c r="F136" s="18"/>
      <x:c r="G136" s="18"/>
      <x:c r="H136" s="18"/>
      <x:c r="I136" s="24"/>
      <x:c r="J136" s="24"/>
      <x:c r="K136" s="18"/>
      <x:c r="L136" s="18"/>
      <x:c r="M136" s="18"/>
    </x:row>
    <x:row r="137" ht="24" customHeight="1">
      <x:c r="A137" s="19" t="str">
        <x:f>IF(C137="","",COUNTA($C$10:C137))</x:f>
      </x:c>
      <x:c r="B137" s="21"/>
      <x:c r="C137" s="19"/>
      <x:c r="D137" s="19"/>
      <x:c r="E137" s="23"/>
      <x:c r="F137" s="19"/>
      <x:c r="G137" s="19"/>
      <x:c r="H137" s="19"/>
      <x:c r="I137" s="25"/>
      <x:c r="J137" s="25"/>
      <x:c r="K137" s="19"/>
      <x:c r="L137" s="19"/>
      <x:c r="M137" s="19"/>
    </x:row>
    <x:row r="138" ht="24" customHeight="1">
      <x:c r="A138" s="18" t="str">
        <x:f>IF(C138="","",COUNTA($C$10:C138))</x:f>
      </x:c>
      <x:c r="B138" s="20"/>
      <x:c r="C138" s="18"/>
      <x:c r="D138" s="18"/>
      <x:c r="E138" s="22"/>
      <x:c r="F138" s="18"/>
      <x:c r="G138" s="18"/>
      <x:c r="H138" s="18"/>
      <x:c r="I138" s="24"/>
      <x:c r="J138" s="24"/>
      <x:c r="K138" s="18"/>
      <x:c r="L138" s="18"/>
      <x:c r="M138" s="18"/>
    </x:row>
    <x:row r="139" ht="24" customHeight="1">
      <x:c r="A139" s="19" t="str">
        <x:f>IF(C139="","",COUNTA($C$10:C139))</x:f>
      </x:c>
      <x:c r="B139" s="21"/>
      <x:c r="C139" s="19"/>
      <x:c r="D139" s="19"/>
      <x:c r="E139" s="23"/>
      <x:c r="F139" s="19"/>
      <x:c r="G139" s="19"/>
      <x:c r="H139" s="19"/>
      <x:c r="I139" s="25"/>
      <x:c r="J139" s="25"/>
      <x:c r="K139" s="19"/>
      <x:c r="L139" s="19"/>
      <x:c r="M139" s="19"/>
    </x:row>
    <x:row r="140" ht="24" customHeight="1">
      <x:c r="A140" s="18" t="str">
        <x:f>IF(C140="","",COUNTA($C$10:C140))</x:f>
      </x:c>
      <x:c r="B140" s="20"/>
      <x:c r="C140" s="18"/>
      <x:c r="D140" s="18"/>
      <x:c r="E140" s="22"/>
      <x:c r="F140" s="18"/>
      <x:c r="G140" s="18"/>
      <x:c r="H140" s="18"/>
      <x:c r="I140" s="24"/>
      <x:c r="J140" s="24"/>
      <x:c r="K140" s="18"/>
      <x:c r="L140" s="18"/>
      <x:c r="M140" s="18"/>
    </x:row>
    <x:row r="141" ht="24" customHeight="1">
      <x:c r="A141" s="19" t="str">
        <x:f>IF(C141="","",COUNTA($C$10:C141))</x:f>
      </x:c>
      <x:c r="B141" s="21"/>
      <x:c r="C141" s="19"/>
      <x:c r="D141" s="19"/>
      <x:c r="E141" s="23"/>
      <x:c r="F141" s="19"/>
      <x:c r="G141" s="19"/>
      <x:c r="H141" s="19"/>
      <x:c r="I141" s="25"/>
      <x:c r="J141" s="25"/>
      <x:c r="K141" s="19"/>
      <x:c r="L141" s="19"/>
      <x:c r="M141" s="19"/>
    </x:row>
    <x:row r="142" ht="24" customHeight="1">
      <x:c r="A142" s="18" t="str">
        <x:f>IF(C142="","",COUNTA($C$10:C142))</x:f>
      </x:c>
      <x:c r="B142" s="20"/>
      <x:c r="C142" s="18"/>
      <x:c r="D142" s="18"/>
      <x:c r="E142" s="22"/>
      <x:c r="F142" s="18"/>
      <x:c r="G142" s="18"/>
      <x:c r="H142" s="18"/>
      <x:c r="I142" s="24"/>
      <x:c r="J142" s="24"/>
      <x:c r="K142" s="18"/>
      <x:c r="L142" s="18"/>
      <x:c r="M142" s="18"/>
    </x:row>
    <x:row r="143" ht="24" customHeight="1">
      <x:c r="A143" s="19" t="str">
        <x:f>IF(C143="","",COUNTA($C$10:C143))</x:f>
      </x:c>
      <x:c r="B143" s="21"/>
      <x:c r="C143" s="19"/>
      <x:c r="D143" s="19"/>
      <x:c r="E143" s="23"/>
      <x:c r="F143" s="19"/>
      <x:c r="G143" s="19"/>
      <x:c r="H143" s="19"/>
      <x:c r="I143" s="25"/>
      <x:c r="J143" s="25"/>
      <x:c r="K143" s="19"/>
      <x:c r="L143" s="19"/>
      <x:c r="M143" s="19"/>
    </x:row>
    <x:row r="144" ht="24" customHeight="1">
      <x:c r="A144" s="18" t="str">
        <x:f>IF(C144="","",COUNTA($C$10:C144))</x:f>
      </x:c>
      <x:c r="B144" s="20"/>
      <x:c r="C144" s="18"/>
      <x:c r="D144" s="18"/>
      <x:c r="E144" s="22"/>
      <x:c r="F144" s="18"/>
      <x:c r="G144" s="18"/>
      <x:c r="H144" s="18"/>
      <x:c r="I144" s="24"/>
      <x:c r="J144" s="24"/>
      <x:c r="K144" s="18"/>
      <x:c r="L144" s="18"/>
      <x:c r="M144" s="18"/>
    </x:row>
    <x:row r="145" ht="24" customHeight="1">
      <x:c r="A145" s="19" t="str">
        <x:f>IF(C145="","",COUNTA($C$10:C145))</x:f>
      </x:c>
      <x:c r="B145" s="21"/>
      <x:c r="C145" s="19"/>
      <x:c r="D145" s="19"/>
      <x:c r="E145" s="23"/>
      <x:c r="F145" s="19"/>
      <x:c r="G145" s="19"/>
      <x:c r="H145" s="19"/>
      <x:c r="I145" s="25"/>
      <x:c r="J145" s="25"/>
      <x:c r="K145" s="19"/>
      <x:c r="L145" s="19"/>
      <x:c r="M145" s="19"/>
    </x:row>
    <x:row r="146" ht="24" customHeight="1">
      <x:c r="A146" s="18" t="str">
        <x:f>IF(C146="","",COUNTA($C$10:C146))</x:f>
      </x:c>
      <x:c r="B146" s="20"/>
      <x:c r="C146" s="18"/>
      <x:c r="D146" s="18"/>
      <x:c r="E146" s="22"/>
      <x:c r="F146" s="18"/>
      <x:c r="G146" s="18"/>
      <x:c r="H146" s="18"/>
      <x:c r="I146" s="24"/>
      <x:c r="J146" s="24"/>
      <x:c r="K146" s="18"/>
      <x:c r="L146" s="18"/>
      <x:c r="M146" s="18"/>
    </x:row>
    <x:row r="147" ht="24" customHeight="1">
      <x:c r="A147" s="19" t="str">
        <x:f>IF(C147="","",COUNTA($C$10:C147))</x:f>
      </x:c>
      <x:c r="B147" s="21"/>
      <x:c r="C147" s="19"/>
      <x:c r="D147" s="19"/>
      <x:c r="E147" s="23"/>
      <x:c r="F147" s="19"/>
      <x:c r="G147" s="19"/>
      <x:c r="H147" s="19"/>
      <x:c r="I147" s="25"/>
      <x:c r="J147" s="25"/>
      <x:c r="K147" s="19"/>
      <x:c r="L147" s="19"/>
      <x:c r="M147" s="19"/>
    </x:row>
    <x:row r="148" ht="24" customHeight="1">
      <x:c r="A148" s="18" t="str">
        <x:f>IF(C148="","",COUNTA($C$10:C148))</x:f>
      </x:c>
      <x:c r="B148" s="20"/>
      <x:c r="C148" s="18"/>
      <x:c r="D148" s="18"/>
      <x:c r="E148" s="22"/>
      <x:c r="F148" s="18"/>
      <x:c r="G148" s="18"/>
      <x:c r="H148" s="18"/>
      <x:c r="I148" s="24"/>
      <x:c r="J148" s="24"/>
      <x:c r="K148" s="18"/>
      <x:c r="L148" s="18"/>
      <x:c r="M148" s="18"/>
    </x:row>
    <x:row r="149" ht="24" customHeight="1">
      <x:c r="A149" s="19" t="str">
        <x:f>IF(C149="","",COUNTA($C$10:C149))</x:f>
      </x:c>
      <x:c r="B149" s="21"/>
      <x:c r="C149" s="19"/>
      <x:c r="D149" s="19"/>
      <x:c r="E149" s="23"/>
      <x:c r="F149" s="19"/>
      <x:c r="G149" s="19"/>
      <x:c r="H149" s="19"/>
      <x:c r="I149" s="25"/>
      <x:c r="J149" s="25"/>
      <x:c r="K149" s="19"/>
      <x:c r="L149" s="19"/>
      <x:c r="M149" s="19"/>
    </x:row>
    <x:row r="150" ht="24" customHeight="1">
      <x:c r="A150" s="18" t="str">
        <x:f>IF(C150="","",COUNTA($C$10:C150))</x:f>
      </x:c>
      <x:c r="B150" s="20"/>
      <x:c r="C150" s="18"/>
      <x:c r="D150" s="18"/>
      <x:c r="E150" s="22"/>
      <x:c r="F150" s="18"/>
      <x:c r="G150" s="18"/>
      <x:c r="H150" s="18"/>
      <x:c r="I150" s="24"/>
      <x:c r="J150" s="24"/>
      <x:c r="K150" s="18"/>
      <x:c r="L150" s="18"/>
      <x:c r="M150" s="18"/>
    </x:row>
    <x:row r="151" ht="24" customHeight="1">
      <x:c r="A151" s="19" t="str">
        <x:f>IF(C151="","",COUNTA($C$10:C151))</x:f>
      </x:c>
      <x:c r="B151" s="21"/>
      <x:c r="C151" s="19"/>
      <x:c r="D151" s="19"/>
      <x:c r="E151" s="23"/>
      <x:c r="F151" s="19"/>
      <x:c r="G151" s="19"/>
      <x:c r="H151" s="19"/>
      <x:c r="I151" s="25"/>
      <x:c r="J151" s="25"/>
      <x:c r="K151" s="19"/>
      <x:c r="L151" s="19"/>
      <x:c r="M151" s="19"/>
    </x:row>
    <x:row r="152" ht="24" customHeight="1">
      <x:c r="A152" s="18" t="str">
        <x:f>IF(C152="","",COUNTA($C$10:C152))</x:f>
      </x:c>
      <x:c r="B152" s="20"/>
      <x:c r="C152" s="18"/>
      <x:c r="D152" s="18"/>
      <x:c r="E152" s="22"/>
      <x:c r="F152" s="18"/>
      <x:c r="G152" s="18"/>
      <x:c r="H152" s="18"/>
      <x:c r="I152" s="24"/>
      <x:c r="J152" s="24"/>
      <x:c r="K152" s="18"/>
      <x:c r="L152" s="18"/>
      <x:c r="M152" s="18"/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M4"/>
    <x:mergeCell ref="K5:M5"/>
    <x:mergeCell ref="A7:M7"/>
  </x:mergeCells>
  <x:conditionalFormatting sqref="F10:F152">
    <x:cfRule type="containsText" dxfId="16" priority="1" operator="containsText" text="필수"/>
    <x:cfRule type="containsText" dxfId="17" priority="2" operator="containsText" text="추천"/>
    <x:cfRule type="containsText" dxfId="18" priority="3" operator="containsText" text="선택"/>
  </x:conditionalFormatting>
  <x:conditionalFormatting sqref="H10:H152">
    <x:cfRule type="containsText" dxfId="19" priority="4" operator="containsText" text="구매완료"/>
    <x:cfRule type="containsText" dxfId="20" priority="5" operator="containsText" text="구매예정"/>
    <x:cfRule type="containsText" dxfId="21" priority="6" operator="containsText" text="대여/물려받기"/>
    <x:cfRule type="containsText" dxfId="22" priority="7" operator="containsText" text="선물예정"/>
    <x:cfRule type="containsText" dxfId="23" priority="8" operator="containsText" text="불필요"/>
  </x:conditionalFormatting>
  <x:dataValidations count="4">
    <x:dataValidation type="list" sqref="B10:B152">
      <x:formula1>"01 의류,02 침구,03 가구,04 가전,05 모유/수유,06 세척,07 위생,08 목욕,09 외출,10 장난감,11 책/미디어"</x:formula1>
    </x:dataValidation>
    <x:dataValidation type="list" sqref="F10:F152">
      <x:formula1>"필수,추천,선택,계절/상황별"</x:formula1>
    </x:dataValidation>
    <x:dataValidation type="list" sqref="G10:G152">
      <x:formula1>"출산가방,출산 전,퇴원 전,조리원 입소 전,조리원 생활,생후 0-1개월,생후 1-3개월,생후 3-6개월,필요시,계절별"</x:formula1>
    </x:dataValidation>
    <x:dataValidation type="list" sqref="H10:H152">
      <x:formula1>"미정,구매예정,구매완료,대여/물려받기,선물예정,보류,불필요"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1a607e4a7b49af"/>
  </x:tableParts>
</x:worksheet>
</file>